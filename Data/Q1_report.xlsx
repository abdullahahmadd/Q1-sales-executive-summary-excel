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B1B79C2-6A87-46D9-BDD9-B59C76FBC9F0}" xr6:coauthVersionLast="47" xr6:coauthVersionMax="47" xr10:uidLastSave="{00000000-0000-0000-0000-000000000000}"/>
  <bookViews>
    <workbookView xWindow="-120" yWindow="-120" windowWidth="20730" windowHeight="11040" activeTab="2" xr2:uid="{76F2D8FE-0054-4598-9C36-C1C28E4F078D}"/>
  </bookViews>
  <sheets>
    <sheet name="Raw_Sales_Data" sheetId="1" r:id="rId1"/>
    <sheet name="Executive_Summary" sheetId="2" r:id="rId2"/>
    <sheet name="Executive_Charts" sheetId="3" r:id="rId3"/>
  </sheets>
  <definedNames>
    <definedName name="_xlnm._FilterDatabase" localSheetId="0" hidden="1">Raw_Sales_Data!$A$1:$N$246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D13" i="2"/>
  <c r="D12" i="2"/>
  <c r="C14" i="2"/>
  <c r="C13" i="2"/>
  <c r="C12" i="2"/>
  <c r="B14" i="2"/>
  <c r="B13" i="2"/>
  <c r="B12" i="2"/>
  <c r="B6" i="2"/>
  <c r="B5" i="2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3" i="1"/>
  <c r="X4" i="1"/>
  <c r="X5" i="1"/>
  <c r="X6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12" i="1"/>
  <c r="U11" i="1"/>
  <c r="U10" i="1"/>
  <c r="U9" i="1"/>
  <c r="U8" i="1"/>
  <c r="U7" i="1"/>
  <c r="U6" i="1"/>
  <c r="U5" i="1"/>
  <c r="U4" i="1"/>
  <c r="U3" i="1"/>
  <c r="U2" i="1"/>
  <c r="M198" i="1"/>
  <c r="M201" i="1"/>
  <c r="M204" i="1"/>
  <c r="M207" i="1"/>
  <c r="M210" i="1"/>
  <c r="M213" i="1"/>
  <c r="M216" i="1"/>
  <c r="M231" i="1"/>
  <c r="M233" i="1"/>
  <c r="M235" i="1"/>
  <c r="M237" i="1"/>
  <c r="M239" i="1"/>
  <c r="M241" i="1"/>
  <c r="M243" i="1"/>
  <c r="M245" i="1"/>
  <c r="M219" i="1"/>
  <c r="M221" i="1"/>
  <c r="M223" i="1"/>
  <c r="M225" i="1"/>
  <c r="M227" i="1"/>
  <c r="M228" i="1"/>
  <c r="M229" i="1"/>
  <c r="M230" i="1"/>
  <c r="M196" i="1"/>
  <c r="M199" i="1"/>
  <c r="M202" i="1"/>
  <c r="M205" i="1"/>
  <c r="M208" i="1"/>
  <c r="M211" i="1"/>
  <c r="M214" i="1"/>
  <c r="M217" i="1"/>
  <c r="M165" i="1"/>
  <c r="M167" i="1"/>
  <c r="M169" i="1"/>
  <c r="M172" i="1"/>
  <c r="M176" i="1"/>
  <c r="M180" i="1"/>
  <c r="M184" i="1"/>
  <c r="M188" i="1"/>
  <c r="M149" i="1"/>
  <c r="M151" i="1"/>
  <c r="M153" i="1"/>
  <c r="M155" i="1"/>
  <c r="M157" i="1"/>
  <c r="M159" i="1"/>
  <c r="M161" i="1"/>
  <c r="M163" i="1"/>
  <c r="M2" i="1"/>
  <c r="M5" i="1"/>
  <c r="M8" i="1"/>
  <c r="M10" i="1"/>
  <c r="M12" i="1"/>
  <c r="M14" i="1"/>
  <c r="M20" i="1"/>
  <c r="M22" i="1"/>
  <c r="M24" i="1"/>
  <c r="M25" i="1"/>
  <c r="M3" i="1"/>
  <c r="M6" i="1"/>
  <c r="M18" i="1"/>
  <c r="M19" i="1"/>
  <c r="M21" i="1"/>
  <c r="M23" i="1"/>
  <c r="M4" i="1"/>
  <c r="M7" i="1"/>
  <c r="M9" i="1"/>
  <c r="M11" i="1"/>
  <c r="M13" i="1"/>
  <c r="M15" i="1"/>
  <c r="M16" i="1"/>
  <c r="M17" i="1"/>
  <c r="M26" i="1"/>
  <c r="M27" i="1"/>
  <c r="M28" i="1"/>
  <c r="M29" i="1"/>
  <c r="M30" i="1"/>
  <c r="M31" i="1"/>
  <c r="M32" i="1"/>
  <c r="M33" i="1"/>
  <c r="M156" i="1"/>
  <c r="M158" i="1"/>
  <c r="M160" i="1"/>
  <c r="M162" i="1"/>
  <c r="M164" i="1"/>
  <c r="M170" i="1"/>
  <c r="M173" i="1"/>
  <c r="M177" i="1"/>
  <c r="M181" i="1"/>
  <c r="M185" i="1"/>
  <c r="M189" i="1"/>
  <c r="M191" i="1"/>
  <c r="M193" i="1"/>
  <c r="M110" i="1"/>
  <c r="M113" i="1"/>
  <c r="M116" i="1"/>
  <c r="M119" i="1"/>
  <c r="M122" i="1"/>
  <c r="M133" i="1"/>
  <c r="M135" i="1"/>
  <c r="M137" i="1"/>
  <c r="M139" i="1"/>
  <c r="M141" i="1"/>
  <c r="M143" i="1"/>
  <c r="M145" i="1"/>
  <c r="M147" i="1"/>
  <c r="M104" i="1"/>
  <c r="M106" i="1"/>
  <c r="M108" i="1"/>
  <c r="M111" i="1"/>
  <c r="M114" i="1"/>
  <c r="M117" i="1"/>
  <c r="M120" i="1"/>
  <c r="M123" i="1"/>
  <c r="M134" i="1"/>
  <c r="M136" i="1"/>
  <c r="M138" i="1"/>
  <c r="M140" i="1"/>
  <c r="M142" i="1"/>
  <c r="M144" i="1"/>
  <c r="M146" i="1"/>
  <c r="M148" i="1"/>
  <c r="M125" i="1"/>
  <c r="M126" i="1"/>
  <c r="M127" i="1"/>
  <c r="M128" i="1"/>
  <c r="M129" i="1"/>
  <c r="M130" i="1"/>
  <c r="M131" i="1"/>
  <c r="M132" i="1"/>
  <c r="M105" i="1"/>
  <c r="M107" i="1"/>
  <c r="M109" i="1"/>
  <c r="M112" i="1"/>
  <c r="M115" i="1"/>
  <c r="M118" i="1"/>
  <c r="M121" i="1"/>
  <c r="M124" i="1"/>
  <c r="M166" i="1"/>
  <c r="M168" i="1"/>
  <c r="M171" i="1"/>
  <c r="M174" i="1"/>
  <c r="M178" i="1"/>
  <c r="M182" i="1"/>
  <c r="M186" i="1"/>
  <c r="M175" i="1"/>
  <c r="M179" i="1"/>
  <c r="M183" i="1"/>
  <c r="M187" i="1"/>
  <c r="M190" i="1"/>
  <c r="M192" i="1"/>
  <c r="M194" i="1"/>
  <c r="M150" i="1"/>
  <c r="M152" i="1"/>
  <c r="M154" i="1"/>
  <c r="M197" i="1"/>
  <c r="M200" i="1"/>
  <c r="M203" i="1"/>
  <c r="M206" i="1"/>
  <c r="M209" i="1"/>
  <c r="M212" i="1"/>
  <c r="M215" i="1"/>
  <c r="M218" i="1"/>
  <c r="M232" i="1"/>
  <c r="M234" i="1"/>
  <c r="M236" i="1"/>
  <c r="M238" i="1"/>
  <c r="M240" i="1"/>
  <c r="M242" i="1"/>
  <c r="M244" i="1"/>
  <c r="M246" i="1"/>
  <c r="M220" i="1"/>
  <c r="M222" i="1"/>
  <c r="M224" i="1"/>
  <c r="M226" i="1"/>
  <c r="M54" i="1"/>
  <c r="M55" i="1"/>
  <c r="M56" i="1"/>
  <c r="M57" i="1"/>
  <c r="M58" i="1"/>
  <c r="M59" i="1"/>
  <c r="M34" i="1"/>
  <c r="M36" i="1"/>
  <c r="M38" i="1"/>
  <c r="M40" i="1"/>
  <c r="M42" i="1"/>
  <c r="M44" i="1"/>
  <c r="M46" i="1"/>
  <c r="M49" i="1"/>
  <c r="M35" i="1"/>
  <c r="M37" i="1"/>
  <c r="M39" i="1"/>
  <c r="M41" i="1"/>
  <c r="M43" i="1"/>
  <c r="M45" i="1"/>
  <c r="M47" i="1"/>
  <c r="M50" i="1"/>
  <c r="M48" i="1"/>
  <c r="M51" i="1"/>
  <c r="M60" i="1"/>
  <c r="M61" i="1"/>
  <c r="M62" i="1"/>
  <c r="M63" i="1"/>
  <c r="M64" i="1"/>
  <c r="M65" i="1"/>
  <c r="M66" i="1"/>
  <c r="M67" i="1"/>
  <c r="M52" i="1"/>
  <c r="M53" i="1"/>
  <c r="M92" i="1"/>
  <c r="M94" i="1"/>
  <c r="M96" i="1"/>
  <c r="M98" i="1"/>
  <c r="M100" i="1"/>
  <c r="M102" i="1"/>
  <c r="M68" i="1"/>
  <c r="M70" i="1"/>
  <c r="M72" i="1"/>
  <c r="M74" i="1"/>
  <c r="M76" i="1"/>
  <c r="M78" i="1"/>
  <c r="M80" i="1"/>
  <c r="M81" i="1"/>
  <c r="M90" i="1"/>
  <c r="M91" i="1"/>
  <c r="M93" i="1"/>
  <c r="M95" i="1"/>
  <c r="M97" i="1"/>
  <c r="M99" i="1"/>
  <c r="M101" i="1"/>
  <c r="M103" i="1"/>
  <c r="M82" i="1"/>
  <c r="M83" i="1"/>
  <c r="M84" i="1"/>
  <c r="M85" i="1"/>
  <c r="M86" i="1"/>
  <c r="M87" i="1"/>
  <c r="M88" i="1"/>
  <c r="M89" i="1"/>
  <c r="M69" i="1"/>
  <c r="M71" i="1"/>
  <c r="M73" i="1"/>
  <c r="M75" i="1"/>
  <c r="M77" i="1"/>
  <c r="M79" i="1"/>
  <c r="M195" i="1"/>
  <c r="B7" i="2" l="1"/>
</calcChain>
</file>

<file path=xl/sharedStrings.xml><?xml version="1.0" encoding="utf-8"?>
<sst xmlns="http://schemas.openxmlformats.org/spreadsheetml/2006/main" count="1749" uniqueCount="162">
  <si>
    <t>Product ID</t>
  </si>
  <si>
    <t>Product Category</t>
  </si>
  <si>
    <t>Product Subcategory</t>
  </si>
  <si>
    <t>Product Name</t>
  </si>
  <si>
    <t>Order Date</t>
  </si>
  <si>
    <t>Month</t>
  </si>
  <si>
    <t>Year</t>
  </si>
  <si>
    <t>Wholesale Price</t>
  </si>
  <si>
    <t>Retail Price</t>
  </si>
  <si>
    <t>Order Quantity</t>
  </si>
  <si>
    <t xml:space="preserve"> Total (Before Tax)</t>
  </si>
  <si>
    <t>Tax Due</t>
  </si>
  <si>
    <t>Order Total</t>
  </si>
  <si>
    <t>Payment Method</t>
  </si>
  <si>
    <t>Order Status</t>
  </si>
  <si>
    <t>Order ID</t>
  </si>
  <si>
    <t>Customer ID</t>
  </si>
  <si>
    <t>Product Description</t>
  </si>
  <si>
    <t>Product Size</t>
  </si>
  <si>
    <t>Product Weight</t>
  </si>
  <si>
    <t>MOUNTAIN BIKES</t>
  </si>
  <si>
    <t>Cross Country</t>
  </si>
  <si>
    <t>Credit Card</t>
  </si>
  <si>
    <t>Shipped</t>
  </si>
  <si>
    <t>Lightweight and versatile</t>
  </si>
  <si>
    <t>M</t>
  </si>
  <si>
    <t>PayPal</t>
  </si>
  <si>
    <t>Processing</t>
  </si>
  <si>
    <t>High-performance mountain bike</t>
  </si>
  <si>
    <t>L</t>
  </si>
  <si>
    <t>ROAD BIKES</t>
  </si>
  <si>
    <t>Racing</t>
  </si>
  <si>
    <t>Cancelled</t>
  </si>
  <si>
    <t>Agile and aerodynamic road bike</t>
  </si>
  <si>
    <t>Premium racing road bike</t>
  </si>
  <si>
    <t>TOURING BIKES</t>
  </si>
  <si>
    <t>Long Distance</t>
  </si>
  <si>
    <t>Explorer 1000</t>
  </si>
  <si>
    <t>Comfortable and durable touring bike</t>
  </si>
  <si>
    <t>Explorer 2000</t>
  </si>
  <si>
    <t>Advanced touring bike</t>
  </si>
  <si>
    <t>Downhill</t>
  </si>
  <si>
    <t>Rugged and durable downhill bike</t>
  </si>
  <si>
    <t>Extreme downhill performance</t>
  </si>
  <si>
    <t>Trail</t>
  </si>
  <si>
    <t>Pathfinder 1000</t>
  </si>
  <si>
    <t>Agile trail bike for all skill levels</t>
  </si>
  <si>
    <t>Pathfinder 2000</t>
  </si>
  <si>
    <t>High-performance trail bike</t>
  </si>
  <si>
    <t>Touring</t>
  </si>
  <si>
    <t>Voyager 1000</t>
  </si>
  <si>
    <t>Comfortable touring road bike</t>
  </si>
  <si>
    <t>Voyager 2000</t>
  </si>
  <si>
    <t>Advanced touring road bike</t>
  </si>
  <si>
    <t>Adventure</t>
  </si>
  <si>
    <t>Adventurer 1000</t>
  </si>
  <si>
    <t>Durable bike for long adventures</t>
  </si>
  <si>
    <t>Adventurer 2000</t>
  </si>
  <si>
    <t>Premium adventure touring bike</t>
  </si>
  <si>
    <t>Enduro</t>
  </si>
  <si>
    <t>Endurance-focused mountain bike</t>
  </si>
  <si>
    <t>High-performance enduro mountain bike</t>
  </si>
  <si>
    <t>Fat Bikes</t>
  </si>
  <si>
    <t>All-terrain fat bike</t>
  </si>
  <si>
    <t>High-performance fat bike</t>
  </si>
  <si>
    <t>Cyclocross</t>
  </si>
  <si>
    <t>Versatile cyclocross bike</t>
  </si>
  <si>
    <t>Advanced cyclocross bike</t>
  </si>
  <si>
    <t>Tandem</t>
  </si>
  <si>
    <t>Comfortable tandem touring bike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</si>
  <si>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</si>
  <si>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</si>
  <si>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</si>
  <si>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</si>
  <si>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</si>
  <si>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</si>
  <si>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E-BIKES</t>
  </si>
  <si>
    <t>City</t>
  </si>
  <si>
    <t>Eco-friendly electric city bike</t>
  </si>
  <si>
    <t>High-performance electric city bike</t>
  </si>
  <si>
    <t>Gravel</t>
  </si>
  <si>
    <t>All-terrain gravel bike</t>
  </si>
  <si>
    <t>High-performance gravel bike</t>
  </si>
  <si>
    <t>Folding</t>
  </si>
  <si>
    <t>Compact folding touring bike</t>
  </si>
  <si>
    <t>Advanced folding touring bike</t>
  </si>
  <si>
    <t>Mountain</t>
  </si>
  <si>
    <t>HYBRID BIKES</t>
  </si>
  <si>
    <t>Commuter</t>
  </si>
  <si>
    <t>Efficient commuter hybrid bike</t>
  </si>
  <si>
    <t>High-performance commuter hybrid bike</t>
  </si>
  <si>
    <t>Aero</t>
  </si>
  <si>
    <t>Aerodynamic road bike</t>
  </si>
  <si>
    <t>Advanced aerodynamic road bike</t>
  </si>
  <si>
    <t>Recumbent</t>
  </si>
  <si>
    <t>Comfortable recumbent touring bike</t>
  </si>
  <si>
    <t>High-performance recumbent touring bike</t>
  </si>
  <si>
    <t>Downhill mountain bike</t>
  </si>
  <si>
    <t>High-performance downhill mountain bike</t>
  </si>
  <si>
    <t>KIDS BIKES</t>
  </si>
  <si>
    <t>Balance</t>
  </si>
  <si>
    <t>Starter balance bike for kids</t>
  </si>
  <si>
    <t>Upgraded balance bike for kids</t>
  </si>
  <si>
    <t>BMX BIKES</t>
  </si>
  <si>
    <t>Freestyle</t>
  </si>
  <si>
    <t>Beginner freestyle BMX bike</t>
  </si>
  <si>
    <t>Advanced freestyle BMX bike</t>
  </si>
  <si>
    <t>Cross country mountain bike</t>
  </si>
  <si>
    <t>High-performance cross country bike</t>
  </si>
  <si>
    <t>Endurance</t>
  </si>
  <si>
    <t>Endurance road bike</t>
  </si>
  <si>
    <t>High-performance endurance road bike</t>
  </si>
  <si>
    <t>TOTAL Q1 SALES</t>
  </si>
  <si>
    <t>2022 Sales</t>
  </si>
  <si>
    <t>2023 Sales</t>
  </si>
  <si>
    <t>% Increase</t>
  </si>
  <si>
    <t xml:space="preserve">    Q1 MONTHLY TOTALS</t>
  </si>
  <si>
    <t>January</t>
  </si>
  <si>
    <t>February</t>
  </si>
  <si>
    <t>March</t>
  </si>
  <si>
    <t>Trailblazer 1000</t>
  </si>
  <si>
    <t>Trailblazer 2000</t>
  </si>
  <si>
    <t>Speedmaster 1000</t>
  </si>
  <si>
    <t>Speedmaster 2000</t>
  </si>
  <si>
    <t>Gravitymaster 1000</t>
  </si>
  <si>
    <t>Gravitymaster 2000</t>
  </si>
  <si>
    <t>Enduromaster 1000</t>
  </si>
  <si>
    <t>Enduromaster 2000</t>
  </si>
  <si>
    <t>Fattrail 1000</t>
  </si>
  <si>
    <t>Fattrail 2000</t>
  </si>
  <si>
    <t>Crossrider 1000</t>
  </si>
  <si>
    <t>Crossrider 2000</t>
  </si>
  <si>
    <t>Duoexplorer 1000</t>
  </si>
  <si>
    <t>Duoexplorer 2000</t>
  </si>
  <si>
    <t>Urbaneco 1000</t>
  </si>
  <si>
    <t>Urbaneco 2000</t>
  </si>
  <si>
    <t>Gravelmaster 1000</t>
  </si>
  <si>
    <t>Gravelmaster 2000</t>
  </si>
  <si>
    <t>Foldaway 1000</t>
  </si>
  <si>
    <t>Foldaway 2000</t>
  </si>
  <si>
    <t>E-Trailblazer 1000</t>
  </si>
  <si>
    <t>E-Trailblazer 2000</t>
  </si>
  <si>
    <t>Commutepro 1000</t>
  </si>
  <si>
    <t>Commutepro 2000</t>
  </si>
  <si>
    <t>Aerospeed 1000</t>
  </si>
  <si>
    <t>Aerospeed 2000</t>
  </si>
  <si>
    <t>Reclinerider 1000</t>
  </si>
  <si>
    <t>Reclinerider 2000</t>
  </si>
  <si>
    <t>Downhilldominator 1000</t>
  </si>
  <si>
    <t>Downhilldominator 2000</t>
  </si>
  <si>
    <t>Littlebalancer 1000</t>
  </si>
  <si>
    <t>Littlebalancer 2000</t>
  </si>
  <si>
    <t>Freestylemaster 1000</t>
  </si>
  <si>
    <t>Freestylemaster 2000</t>
  </si>
  <si>
    <t>Xc-Rider 1000</t>
  </si>
  <si>
    <t>Xc-Rider 2000</t>
  </si>
  <si>
    <t>Enduranceelite 1000</t>
  </si>
  <si>
    <t>Enduranceelite 2000</t>
  </si>
  <si>
    <t>Calculate Month</t>
  </si>
  <si>
    <t>Calculate year</t>
  </si>
  <si>
    <t>Calculate Order Total</t>
  </si>
  <si>
    <t>Calculate Tax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</si>
</sst>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mm/dd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1" applyNumberFormat="1" applyFont="1"/>
    <xf numFmtId="166" fontId="0" fillId="0" borderId="0" xfId="0" applyNumberFormat="1"/>
    <xf numFmtId="0" fontId="2" fillId="2" borderId="0" xfId="0" applyFont="1" applyFill="1" applyAlignment="1">
      <alignment horizontal="center" vertical="top" wrapText="1"/>
    </xf>
    <xf numFmtId="0" fontId="3" fillId="2" borderId="0" xfId="0" applyFont="1" applyFill="1"/>
    <xf numFmtId="0" fontId="5" fillId="0" borderId="0" xfId="0" applyFont="1"/>
    <xf numFmtId="0" fontId="6" fillId="0" borderId="0" xfId="0" applyFont="1"/>
    <xf numFmtId="0" fontId="2" fillId="0" borderId="0" xfId="0" applyFont="1"/>
    <xf numFmtId="0" fontId="2" fillId="2" borderId="0" xfId="0" applyFont="1" applyFill="1"/>
    <xf numFmtId="17" fontId="4" fillId="0" borderId="0" xfId="0" applyNumberFormat="1" applyFont="1"/>
    <xf numFmtId="10" fontId="0" fillId="0" borderId="0" xfId="0" applyNumberFormat="1"/>
    <xf numFmtId="0" fontId="6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Q1 Sales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Executive_Summary!$A$5:$A$6</c:f>
              <c:strCache>
                <c:ptCount val="2"/>
                <c:pt idx="0">
                  <c:v>2022 Sales</c:v>
                </c:pt>
                <c:pt idx="1">
                  <c:v>2023 Sales</c:v>
                </c:pt>
              </c:strCache>
            </c:strRef>
          </c:cat>
          <c:val>
            <c:numRef>
              <c:f>Executive_Summary!$B$5:$B$6</c:f>
              <c:numCache>
                <c:formatCode>General</c:formatCode>
                <c:ptCount val="2"/>
                <c:pt idx="0">
                  <c:v>316600</c:v>
                </c:pt>
                <c:pt idx="1">
                  <c:v>435100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A-483D-A876-02C34473C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043615"/>
        <c:axId val="623046975"/>
      </c:barChart>
      <c:catAx>
        <c:axId val="62304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46975"/>
        <c:crosses val="autoZero"/>
        <c:auto val="1"/>
        <c:lblAlgn val="ctr"/>
        <c:lblOffset val="100"/>
        <c:noMultiLvlLbl val="0"/>
      </c:catAx>
      <c:valAx>
        <c:axId val="62304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4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Q1 Monthly Sales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Executive_Summary!$A$11:$A$14</c:f>
              <c:strCache>
                <c:ptCount val="4"/>
                <c:pt idx="0">
                  <c:v>Month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Executive_Summary!$B$11:$B$14</c:f>
              <c:numCache>
                <c:formatCode>General</c:formatCode>
                <c:ptCount val="4"/>
                <c:pt idx="0">
                  <c:v>2022</c:v>
                </c:pt>
                <c:pt idx="1">
                  <c:v>97300</c:v>
                </c:pt>
                <c:pt idx="2">
                  <c:v>108600</c:v>
                </c:pt>
                <c:pt idx="3">
                  <c:v>110700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7-453D-BAA7-77C8DCA28C7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Executive_Summary!$A$11:$A$14</c:f>
              <c:strCache>
                <c:ptCount val="4"/>
                <c:pt idx="0">
                  <c:v>Month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Executive_Summary!$C$11:$C$14</c:f>
              <c:numCache>
                <c:formatCode>General</c:formatCode>
                <c:ptCount val="4"/>
                <c:pt idx="0">
                  <c:v>2023</c:v>
                </c:pt>
                <c:pt idx="1">
                  <c:v>137600</c:v>
                </c:pt>
                <c:pt idx="2">
                  <c:v>139500</c:v>
                </c:pt>
                <c:pt idx="3">
                  <c:v>158000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7-453D-BAA7-77C8DCA28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911759"/>
        <c:axId val="713908399"/>
      </c:barChart>
      <c:catAx>
        <c:axId val="713911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Months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4113057742782152"/>
              <c:y val="0.859791119860017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908399"/>
        <c:crosses val="autoZero"/>
        <c:auto val="1"/>
        <c:lblAlgn val="ctr"/>
        <c:lblOffset val="100"/>
        <c:noMultiLvlLbl val="0"/>
      </c:catAx>
      <c:valAx>
        <c:axId val="71390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91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744466316710408"/>
          <c:y val="0.77372630504520268"/>
          <c:w val="0.24177734033245843"/>
          <c:h val="7.22316573740064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2</xdr:row>
      <xdr:rowOff>14287</xdr:rowOff>
    </xdr:from>
    <xdr:to>
      <xdr:col>7</xdr:col>
      <xdr:colOff>514350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4B2291-F6D4-9CD6-AC7B-94CC2A2FC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609599</xdr:colOff>
      <xdr:row>2</xdr:row>
      <xdr:rowOff>9525</xdr:rowOff>
    </xdr:from>
    <xdr:to>
      <xdr:col>15</xdr:col>
      <xdr:colOff>352424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18875E-7E73-E2F3-07A1-DA81F55F2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6599-DE44-45AC-9B55-C58B476BC346}">
  <dimension ref="A1:X246"/>
  <sheetViews>
    <sheetView topLeftCell="E1" workbookViewId="0">
      <selection activeCell="U7" sqref="U7"/>
    </sheetView>
  </sheetViews>
  <sheetFormatPr defaultRowHeight="15" x14ac:dyDescent="0.25"/>
  <cols>
    <col min="1" max="1" width="8.85546875" bestFit="1" customWidth="1"/>
    <col min="2" max="2" width="16.5703125" bestFit="1" customWidth="1"/>
    <col min="3" max="3" width="13.42578125" bestFit="1" customWidth="1"/>
    <col min="4" max="4" width="21" customWidth="1"/>
    <col min="5" max="5" width="8.7109375" bestFit="1" customWidth="1"/>
    <col min="6" max="6" width="8.5703125" hidden="1" customWidth="1"/>
    <col min="7" max="7" width="6.28515625" customWidth="1"/>
    <col min="8" max="8" width="11" customWidth="1"/>
    <col min="9" max="9" width="7" bestFit="1" customWidth="1"/>
    <col min="10" max="10" width="10.5703125" customWidth="1"/>
    <col min="11" max="11" width="12.7109375" bestFit="1" customWidth="1"/>
    <col min="12" max="12" width="5.42578125" customWidth="1"/>
    <col min="13" max="13" width="7.7109375" customWidth="1"/>
    <col min="14" max="14" width="10.85546875" bestFit="1" customWidth="1"/>
    <col min="15" max="15" width="10.42578125" bestFit="1" customWidth="1"/>
    <col min="16" max="16" width="6.7109375" bestFit="1" customWidth="1"/>
    <col min="17" max="17" width="10.5703125" customWidth="1"/>
    <col min="18" max="18" width="39.7109375" hidden="1" customWidth="1"/>
    <col min="19" max="19" width="9" hidden="1" customWidth="1"/>
    <col min="20" max="20" width="8.85546875" hidden="1" customWidth="1"/>
    <col min="21" max="22" width="19.28515625" customWidth="1"/>
    <col min="23" max="23" width="22.85546875" customWidth="1"/>
    <col min="24" max="24" width="19.28515625" customWidth="1"/>
    <col min="25" max="25" width="7.85546875" bestFit="1" customWidth="1"/>
  </cols>
  <sheetData>
    <row r="1" spans="1:24" s="4" customFormat="1" ht="34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8" t="s">
        <v>158</v>
      </c>
      <c r="V1" s="8" t="s">
        <v>159</v>
      </c>
      <c r="W1" s="8" t="s">
        <v>160</v>
      </c>
      <c r="X1" s="8" t="s">
        <v>161</v>
      </c>
    </row>
    <row r="2" spans="1:24" x14ac:dyDescent="0.25">
      <c r="A2">
        <v>1001</v>
      </c>
      <c r="B2" t="s">
        <v>20</v>
      </c>
      <c r="C2" t="s">
        <v>21</v>
      </c>
      <c r="D2" t="s">
        <v>120</v>
      </c>
      <c r="E2" s="2">
        <v>44562</v>
      </c>
      <c r="H2" s="1">
        <v>840</v>
      </c>
      <c r="I2" s="1">
        <v>1200</v>
      </c>
      <c r="J2">
        <v>2</v>
      </c>
      <c r="K2" s="1"/>
      <c r="L2" s="1"/>
      <c r="M2" s="1">
        <f t="shared" ref="M2:M65" si="0">K2+L2</f>
        <v>0</v>
      </c>
      <c r="N2" t="s">
        <v>22</v>
      </c>
      <c r="O2" t="s">
        <v>23</v>
      </c>
      <c r="P2">
        <v>2001</v>
      </c>
      <c r="Q2">
        <v>3001</v>
      </c>
      <c r="R2" t="s">
        <v>24</v>
      </c>
      <c r="S2" t="s">
        <v>25</v>
      </c>
      <c r="T2">
        <v>25</v>
      </c>
      <c r="U2">
        <f>MONTH(E2)</f>
        <v>1</v>
      </c>
      <c r="V2">
        <f>YEAR(E2)</f>
        <v>2022</v>
      </c>
      <c r="W2">
        <f>I2 * J2</f>
        <v>2400</v>
      </c>
      <c r="X2">
        <f>IF(W2&gt;2000,W2*0.05,0)</f>
        <v>120</v>
      </c>
    </row>
    <row r="3" spans="1:24" x14ac:dyDescent="0.25">
      <c r="A3">
        <v>1002</v>
      </c>
      <c r="B3" t="s">
        <v>20</v>
      </c>
      <c r="C3" t="s">
        <v>21</v>
      </c>
      <c r="D3" t="s">
        <v>134</v>
      </c>
      <c r="E3" s="2">
        <v>44562</v>
      </c>
      <c r="H3" s="1">
        <v>1460</v>
      </c>
      <c r="I3" s="1">
        <v>2000</v>
      </c>
      <c r="J3">
        <v>2</v>
      </c>
      <c r="K3" s="1"/>
      <c r="L3" s="1"/>
      <c r="M3" s="1">
        <f t="shared" si="0"/>
        <v>0</v>
      </c>
      <c r="N3" t="s">
        <v>22</v>
      </c>
      <c r="O3" t="s">
        <v>23</v>
      </c>
      <c r="P3">
        <v>2061</v>
      </c>
      <c r="Q3">
        <v>3061</v>
      </c>
      <c r="R3" t="s">
        <v>78</v>
      </c>
      <c r="S3" t="s">
        <v>25</v>
      </c>
      <c r="T3">
        <v>35</v>
      </c>
      <c r="U3">
        <f t="shared" ref="U3:U66" si="1">MONTH(E3)</f>
        <v>1</v>
      </c>
      <c r="V3">
        <f t="shared" ref="V3:V66" si="2">YEAR(E3)</f>
        <v>2022</v>
      </c>
      <c r="W3">
        <f t="shared" ref="W3:W66" si="3">I3 * J3</f>
        <v>4000</v>
      </c>
      <c r="X3">
        <f t="shared" ref="X3:X66" si="4">IF(W3&gt;2000,W3*0.05,0)</f>
        <v>200</v>
      </c>
    </row>
    <row r="4" spans="1:24" x14ac:dyDescent="0.25">
      <c r="A4">
        <v>1003</v>
      </c>
      <c r="B4" t="s">
        <v>30</v>
      </c>
      <c r="C4" t="s">
        <v>31</v>
      </c>
      <c r="D4" t="s">
        <v>120</v>
      </c>
      <c r="E4" s="2">
        <v>44562</v>
      </c>
      <c r="H4" s="1">
        <v>840</v>
      </c>
      <c r="I4" s="1">
        <v>1200</v>
      </c>
      <c r="J4">
        <v>2</v>
      </c>
      <c r="K4" s="1"/>
      <c r="L4" s="1"/>
      <c r="M4" s="1">
        <f t="shared" si="0"/>
        <v>0</v>
      </c>
      <c r="N4" t="s">
        <v>22</v>
      </c>
      <c r="O4" t="s">
        <v>23</v>
      </c>
      <c r="P4">
        <v>2001</v>
      </c>
      <c r="Q4">
        <v>3001</v>
      </c>
      <c r="R4" t="s">
        <v>24</v>
      </c>
      <c r="S4" t="s">
        <v>25</v>
      </c>
      <c r="T4">
        <v>25</v>
      </c>
      <c r="U4">
        <f t="shared" si="1"/>
        <v>1</v>
      </c>
      <c r="V4">
        <f t="shared" si="2"/>
        <v>2022</v>
      </c>
      <c r="W4">
        <f t="shared" si="3"/>
        <v>2400</v>
      </c>
      <c r="X4">
        <f t="shared" si="4"/>
        <v>120</v>
      </c>
    </row>
    <row r="5" spans="1:24" x14ac:dyDescent="0.25">
      <c r="A5">
        <v>1004</v>
      </c>
      <c r="B5" t="s">
        <v>30</v>
      </c>
      <c r="C5" t="s">
        <v>31</v>
      </c>
      <c r="D5" t="s">
        <v>121</v>
      </c>
      <c r="E5" s="2">
        <v>44563</v>
      </c>
      <c r="H5" s="1">
        <v>1050</v>
      </c>
      <c r="I5" s="1">
        <v>1500</v>
      </c>
      <c r="J5">
        <v>1</v>
      </c>
      <c r="K5" s="1"/>
      <c r="L5" s="1"/>
      <c r="M5" s="1">
        <f t="shared" si="0"/>
        <v>0</v>
      </c>
      <c r="N5" t="s">
        <v>26</v>
      </c>
      <c r="O5" t="s">
        <v>27</v>
      </c>
      <c r="P5">
        <v>2002</v>
      </c>
      <c r="Q5">
        <v>3002</v>
      </c>
      <c r="R5" t="s">
        <v>28</v>
      </c>
      <c r="S5" t="s">
        <v>29</v>
      </c>
      <c r="T5">
        <v>22</v>
      </c>
      <c r="U5">
        <f t="shared" si="1"/>
        <v>1</v>
      </c>
      <c r="V5">
        <f t="shared" si="2"/>
        <v>2022</v>
      </c>
      <c r="W5">
        <f t="shared" si="3"/>
        <v>1500</v>
      </c>
      <c r="X5">
        <f t="shared" si="4"/>
        <v>0</v>
      </c>
    </row>
    <row r="6" spans="1:24" x14ac:dyDescent="0.25">
      <c r="A6">
        <v>1005</v>
      </c>
      <c r="B6" t="s">
        <v>35</v>
      </c>
      <c r="C6" t="s">
        <v>36</v>
      </c>
      <c r="D6" t="s">
        <v>135</v>
      </c>
      <c r="E6" s="2">
        <v>44563</v>
      </c>
      <c r="H6" s="1">
        <v>1825</v>
      </c>
      <c r="I6" s="1">
        <v>2500</v>
      </c>
      <c r="J6">
        <v>1</v>
      </c>
      <c r="K6" s="1"/>
      <c r="L6" s="1"/>
      <c r="M6" s="1">
        <f t="shared" si="0"/>
        <v>0</v>
      </c>
      <c r="N6" t="s">
        <v>26</v>
      </c>
      <c r="O6" t="s">
        <v>27</v>
      </c>
      <c r="P6">
        <v>2062</v>
      </c>
      <c r="Q6">
        <v>3062</v>
      </c>
      <c r="R6" t="s">
        <v>79</v>
      </c>
      <c r="S6" t="s">
        <v>29</v>
      </c>
      <c r="T6">
        <v>33</v>
      </c>
      <c r="U6">
        <f t="shared" si="1"/>
        <v>1</v>
      </c>
      <c r="V6">
        <f t="shared" si="2"/>
        <v>2022</v>
      </c>
      <c r="W6">
        <f t="shared" si="3"/>
        <v>2500</v>
      </c>
      <c r="X6">
        <f t="shared" si="4"/>
        <v>125</v>
      </c>
    </row>
    <row r="7" spans="1:24" x14ac:dyDescent="0.25">
      <c r="A7">
        <v>1006</v>
      </c>
      <c r="B7" t="s">
        <v>35</v>
      </c>
      <c r="C7" t="s">
        <v>36</v>
      </c>
      <c r="D7" t="s">
        <v>121</v>
      </c>
      <c r="E7" s="2">
        <v>44563</v>
      </c>
      <c r="H7" s="1">
        <v>1050</v>
      </c>
      <c r="I7" s="1">
        <v>1500</v>
      </c>
      <c r="J7">
        <v>1</v>
      </c>
      <c r="K7" s="1"/>
      <c r="L7" s="1"/>
      <c r="M7" s="1">
        <f t="shared" si="0"/>
        <v>0</v>
      </c>
      <c r="N7" t="s">
        <v>26</v>
      </c>
      <c r="O7" t="s">
        <v>27</v>
      </c>
      <c r="P7">
        <v>2002</v>
      </c>
      <c r="Q7">
        <v>3002</v>
      </c>
      <c r="R7" t="s">
        <v>28</v>
      </c>
      <c r="S7" t="s">
        <v>29</v>
      </c>
      <c r="T7">
        <v>22</v>
      </c>
      <c r="U7">
        <f t="shared" si="1"/>
        <v>1</v>
      </c>
      <c r="V7">
        <f t="shared" si="2"/>
        <v>2022</v>
      </c>
      <c r="W7">
        <f t="shared" si="3"/>
        <v>1500</v>
      </c>
      <c r="X7">
        <f t="shared" si="4"/>
        <v>0</v>
      </c>
    </row>
    <row r="8" spans="1:24" x14ac:dyDescent="0.25">
      <c r="A8">
        <v>1007</v>
      </c>
      <c r="B8" t="s">
        <v>20</v>
      </c>
      <c r="C8" t="s">
        <v>41</v>
      </c>
      <c r="D8" t="s">
        <v>122</v>
      </c>
      <c r="E8" s="2">
        <v>44564</v>
      </c>
      <c r="H8" s="1">
        <v>1260</v>
      </c>
      <c r="I8" s="1">
        <v>1800</v>
      </c>
      <c r="J8">
        <v>3</v>
      </c>
      <c r="K8" s="1"/>
      <c r="L8" s="1"/>
      <c r="M8" s="1">
        <f t="shared" si="0"/>
        <v>0</v>
      </c>
      <c r="N8" t="s">
        <v>22</v>
      </c>
      <c r="O8" t="s">
        <v>32</v>
      </c>
      <c r="P8">
        <v>2003</v>
      </c>
      <c r="Q8">
        <v>3003</v>
      </c>
      <c r="R8" t="s">
        <v>33</v>
      </c>
      <c r="S8" t="s">
        <v>25</v>
      </c>
      <c r="T8">
        <v>18</v>
      </c>
      <c r="U8">
        <f t="shared" si="1"/>
        <v>1</v>
      </c>
      <c r="V8">
        <f t="shared" si="2"/>
        <v>2022</v>
      </c>
      <c r="W8">
        <f t="shared" si="3"/>
        <v>5400</v>
      </c>
      <c r="X8">
        <f t="shared" si="4"/>
        <v>270</v>
      </c>
    </row>
    <row r="9" spans="1:24" x14ac:dyDescent="0.25">
      <c r="A9">
        <v>1008</v>
      </c>
      <c r="B9" t="s">
        <v>20</v>
      </c>
      <c r="C9" t="s">
        <v>41</v>
      </c>
      <c r="D9" t="s">
        <v>122</v>
      </c>
      <c r="E9" s="2">
        <v>44564</v>
      </c>
      <c r="H9" s="1">
        <v>1260</v>
      </c>
      <c r="I9" s="1">
        <v>1800</v>
      </c>
      <c r="J9">
        <v>3</v>
      </c>
      <c r="K9" s="1"/>
      <c r="L9" s="1"/>
      <c r="M9" s="1">
        <f t="shared" si="0"/>
        <v>0</v>
      </c>
      <c r="N9" t="s">
        <v>22</v>
      </c>
      <c r="O9" t="s">
        <v>32</v>
      </c>
      <c r="P9">
        <v>2003</v>
      </c>
      <c r="Q9">
        <v>3003</v>
      </c>
      <c r="R9" t="s">
        <v>33</v>
      </c>
      <c r="S9" t="s">
        <v>25</v>
      </c>
      <c r="T9">
        <v>18</v>
      </c>
      <c r="U9">
        <f t="shared" si="1"/>
        <v>1</v>
      </c>
      <c r="V9">
        <f t="shared" si="2"/>
        <v>2022</v>
      </c>
      <c r="W9">
        <f t="shared" si="3"/>
        <v>5400</v>
      </c>
      <c r="X9">
        <f t="shared" si="4"/>
        <v>270</v>
      </c>
    </row>
    <row r="10" spans="1:24" x14ac:dyDescent="0.25">
      <c r="A10">
        <v>1009</v>
      </c>
      <c r="B10" t="s">
        <v>20</v>
      </c>
      <c r="C10" t="s">
        <v>44</v>
      </c>
      <c r="D10" t="s">
        <v>123</v>
      </c>
      <c r="E10" s="2">
        <v>44565</v>
      </c>
      <c r="H10" s="1">
        <v>1470</v>
      </c>
      <c r="I10" s="1">
        <v>2100</v>
      </c>
      <c r="J10">
        <v>1</v>
      </c>
      <c r="K10" s="1"/>
      <c r="L10" s="1"/>
      <c r="M10" s="1">
        <f t="shared" si="0"/>
        <v>0</v>
      </c>
      <c r="N10" t="s">
        <v>22</v>
      </c>
      <c r="O10" t="s">
        <v>23</v>
      </c>
      <c r="P10">
        <v>2004</v>
      </c>
      <c r="Q10">
        <v>3004</v>
      </c>
      <c r="R10" t="s">
        <v>34</v>
      </c>
      <c r="S10" t="s">
        <v>29</v>
      </c>
      <c r="T10">
        <v>16</v>
      </c>
      <c r="U10">
        <f t="shared" si="1"/>
        <v>1</v>
      </c>
      <c r="V10">
        <f t="shared" si="2"/>
        <v>2022</v>
      </c>
      <c r="W10">
        <f t="shared" si="3"/>
        <v>2100</v>
      </c>
      <c r="X10">
        <f t="shared" si="4"/>
        <v>105</v>
      </c>
    </row>
    <row r="11" spans="1:24" x14ac:dyDescent="0.25">
      <c r="A11">
        <v>1010</v>
      </c>
      <c r="B11" t="s">
        <v>20</v>
      </c>
      <c r="C11" t="s">
        <v>44</v>
      </c>
      <c r="D11" t="s">
        <v>123</v>
      </c>
      <c r="E11" s="2">
        <v>44565</v>
      </c>
      <c r="H11" s="1">
        <v>1470</v>
      </c>
      <c r="I11" s="1">
        <v>2100</v>
      </c>
      <c r="J11">
        <v>1</v>
      </c>
      <c r="K11" s="1"/>
      <c r="L11" s="1"/>
      <c r="M11" s="1">
        <f t="shared" si="0"/>
        <v>0</v>
      </c>
      <c r="N11" t="s">
        <v>22</v>
      </c>
      <c r="O11" t="s">
        <v>23</v>
      </c>
      <c r="P11">
        <v>2004</v>
      </c>
      <c r="Q11">
        <v>3004</v>
      </c>
      <c r="R11" t="s">
        <v>34</v>
      </c>
      <c r="S11" t="s">
        <v>29</v>
      </c>
      <c r="T11">
        <v>16</v>
      </c>
      <c r="U11">
        <f t="shared" si="1"/>
        <v>1</v>
      </c>
      <c r="V11">
        <f t="shared" si="2"/>
        <v>2022</v>
      </c>
      <c r="W11">
        <f t="shared" si="3"/>
        <v>2100</v>
      </c>
      <c r="X11">
        <f t="shared" si="4"/>
        <v>105</v>
      </c>
    </row>
    <row r="12" spans="1:24" x14ac:dyDescent="0.25">
      <c r="A12">
        <v>1011</v>
      </c>
      <c r="B12" t="s">
        <v>30</v>
      </c>
      <c r="C12" t="s">
        <v>49</v>
      </c>
      <c r="D12" t="s">
        <v>37</v>
      </c>
      <c r="E12" s="2">
        <v>44566</v>
      </c>
      <c r="H12" s="1">
        <v>896.99999999999989</v>
      </c>
      <c r="I12" s="1">
        <v>1300</v>
      </c>
      <c r="J12">
        <v>2</v>
      </c>
      <c r="K12" s="1"/>
      <c r="L12" s="1"/>
      <c r="M12" s="1">
        <f t="shared" si="0"/>
        <v>0</v>
      </c>
      <c r="N12" t="s">
        <v>26</v>
      </c>
      <c r="O12" t="s">
        <v>27</v>
      </c>
      <c r="P12">
        <v>2005</v>
      </c>
      <c r="Q12">
        <v>3005</v>
      </c>
      <c r="R12" t="s">
        <v>38</v>
      </c>
      <c r="S12" t="s">
        <v>25</v>
      </c>
      <c r="T12">
        <v>27</v>
      </c>
      <c r="U12">
        <f t="shared" si="1"/>
        <v>1</v>
      </c>
      <c r="V12">
        <f t="shared" si="2"/>
        <v>2022</v>
      </c>
      <c r="W12">
        <f t="shared" si="3"/>
        <v>2600</v>
      </c>
      <c r="X12">
        <f t="shared" si="4"/>
        <v>130</v>
      </c>
    </row>
    <row r="13" spans="1:24" x14ac:dyDescent="0.25">
      <c r="A13">
        <v>1012</v>
      </c>
      <c r="B13" t="s">
        <v>30</v>
      </c>
      <c r="C13" t="s">
        <v>49</v>
      </c>
      <c r="D13" t="s">
        <v>37</v>
      </c>
      <c r="E13" s="2">
        <v>44566</v>
      </c>
      <c r="H13" s="1">
        <v>896.99999999999989</v>
      </c>
      <c r="I13" s="1">
        <v>1300</v>
      </c>
      <c r="J13">
        <v>2</v>
      </c>
      <c r="K13" s="1"/>
      <c r="L13" s="1"/>
      <c r="M13" s="1">
        <f t="shared" si="0"/>
        <v>0</v>
      </c>
      <c r="N13" t="s">
        <v>26</v>
      </c>
      <c r="O13" t="s">
        <v>27</v>
      </c>
      <c r="P13">
        <v>2005</v>
      </c>
      <c r="Q13">
        <v>3005</v>
      </c>
      <c r="R13" t="s">
        <v>38</v>
      </c>
      <c r="S13" t="s">
        <v>25</v>
      </c>
      <c r="T13">
        <v>27</v>
      </c>
      <c r="U13">
        <f t="shared" si="1"/>
        <v>1</v>
      </c>
      <c r="V13">
        <f t="shared" si="2"/>
        <v>2022</v>
      </c>
      <c r="W13">
        <f t="shared" si="3"/>
        <v>2600</v>
      </c>
      <c r="X13">
        <f t="shared" si="4"/>
        <v>130</v>
      </c>
    </row>
    <row r="14" spans="1:24" x14ac:dyDescent="0.25">
      <c r="A14">
        <v>1013</v>
      </c>
      <c r="B14" t="s">
        <v>35</v>
      </c>
      <c r="C14" t="s">
        <v>54</v>
      </c>
      <c r="D14" t="s">
        <v>39</v>
      </c>
      <c r="E14" s="2">
        <v>44567</v>
      </c>
      <c r="H14" s="1">
        <v>1104</v>
      </c>
      <c r="I14" s="1">
        <v>1600</v>
      </c>
      <c r="J14">
        <v>1</v>
      </c>
      <c r="K14" s="1"/>
      <c r="L14" s="1"/>
      <c r="M14" s="1">
        <f t="shared" si="0"/>
        <v>0</v>
      </c>
      <c r="N14" t="s">
        <v>22</v>
      </c>
      <c r="O14" t="s">
        <v>23</v>
      </c>
      <c r="P14">
        <v>2006</v>
      </c>
      <c r="Q14">
        <v>3006</v>
      </c>
      <c r="R14" t="s">
        <v>40</v>
      </c>
      <c r="S14" t="s">
        <v>29</v>
      </c>
      <c r="T14">
        <v>24</v>
      </c>
      <c r="U14">
        <f t="shared" si="1"/>
        <v>1</v>
      </c>
      <c r="V14">
        <f t="shared" si="2"/>
        <v>2022</v>
      </c>
      <c r="W14">
        <f t="shared" si="3"/>
        <v>1600</v>
      </c>
      <c r="X14">
        <f t="shared" si="4"/>
        <v>0</v>
      </c>
    </row>
    <row r="15" spans="1:24" x14ac:dyDescent="0.25">
      <c r="A15">
        <v>1014</v>
      </c>
      <c r="B15" t="s">
        <v>35</v>
      </c>
      <c r="C15" t="s">
        <v>54</v>
      </c>
      <c r="D15" t="s">
        <v>39</v>
      </c>
      <c r="E15" s="2">
        <v>44567</v>
      </c>
      <c r="H15" s="1">
        <v>1104</v>
      </c>
      <c r="I15" s="1">
        <v>1600</v>
      </c>
      <c r="J15">
        <v>1</v>
      </c>
      <c r="K15" s="1"/>
      <c r="L15" s="1"/>
      <c r="M15" s="1">
        <f t="shared" si="0"/>
        <v>0</v>
      </c>
      <c r="N15" t="s">
        <v>22</v>
      </c>
      <c r="O15" t="s">
        <v>23</v>
      </c>
      <c r="P15">
        <v>2006</v>
      </c>
      <c r="Q15">
        <v>3006</v>
      </c>
      <c r="R15" t="s">
        <v>40</v>
      </c>
      <c r="S15" t="s">
        <v>29</v>
      </c>
      <c r="T15">
        <v>24</v>
      </c>
      <c r="U15">
        <f t="shared" si="1"/>
        <v>1</v>
      </c>
      <c r="V15">
        <f t="shared" si="2"/>
        <v>2022</v>
      </c>
      <c r="W15">
        <f t="shared" si="3"/>
        <v>1600</v>
      </c>
      <c r="X15">
        <f t="shared" si="4"/>
        <v>0</v>
      </c>
    </row>
    <row r="16" spans="1:24" x14ac:dyDescent="0.25">
      <c r="A16">
        <v>1015</v>
      </c>
      <c r="B16" t="s">
        <v>20</v>
      </c>
      <c r="C16" t="s">
        <v>59</v>
      </c>
      <c r="D16" t="s">
        <v>124</v>
      </c>
      <c r="E16" s="2">
        <v>44568</v>
      </c>
      <c r="H16" s="1">
        <v>1496</v>
      </c>
      <c r="I16" s="1">
        <v>2200</v>
      </c>
      <c r="J16">
        <v>2</v>
      </c>
      <c r="K16" s="1"/>
      <c r="L16" s="1"/>
      <c r="M16" s="1">
        <f t="shared" si="0"/>
        <v>0</v>
      </c>
      <c r="N16" t="s">
        <v>26</v>
      </c>
      <c r="O16" t="s">
        <v>23</v>
      </c>
      <c r="P16">
        <v>2007</v>
      </c>
      <c r="Q16">
        <v>3007</v>
      </c>
      <c r="R16" t="s">
        <v>42</v>
      </c>
      <c r="S16" t="s">
        <v>25</v>
      </c>
      <c r="T16">
        <v>29</v>
      </c>
      <c r="U16">
        <f t="shared" si="1"/>
        <v>1</v>
      </c>
      <c r="V16">
        <f t="shared" si="2"/>
        <v>2022</v>
      </c>
      <c r="W16">
        <f t="shared" si="3"/>
        <v>4400</v>
      </c>
      <c r="X16">
        <f t="shared" si="4"/>
        <v>220</v>
      </c>
    </row>
    <row r="17" spans="1:24" x14ac:dyDescent="0.25">
      <c r="A17">
        <v>1016</v>
      </c>
      <c r="B17" t="s">
        <v>20</v>
      </c>
      <c r="C17" t="s">
        <v>59</v>
      </c>
      <c r="D17" t="s">
        <v>125</v>
      </c>
      <c r="E17" s="2">
        <v>44569</v>
      </c>
      <c r="H17" s="1">
        <v>1700.0000000000002</v>
      </c>
      <c r="I17" s="1">
        <v>2500</v>
      </c>
      <c r="J17">
        <v>1</v>
      </c>
      <c r="K17" s="1"/>
      <c r="L17" s="1"/>
      <c r="M17" s="1">
        <f t="shared" si="0"/>
        <v>0</v>
      </c>
      <c r="N17" t="s">
        <v>22</v>
      </c>
      <c r="O17" t="s">
        <v>27</v>
      </c>
      <c r="P17">
        <v>2008</v>
      </c>
      <c r="Q17">
        <v>3008</v>
      </c>
      <c r="R17" t="s">
        <v>43</v>
      </c>
      <c r="S17" t="s">
        <v>29</v>
      </c>
      <c r="T17">
        <v>27</v>
      </c>
      <c r="U17">
        <f t="shared" si="1"/>
        <v>1</v>
      </c>
      <c r="V17">
        <f t="shared" si="2"/>
        <v>2022</v>
      </c>
      <c r="W17">
        <f t="shared" si="3"/>
        <v>2500</v>
      </c>
      <c r="X17">
        <f t="shared" si="4"/>
        <v>125</v>
      </c>
    </row>
    <row r="18" spans="1:24" x14ac:dyDescent="0.25">
      <c r="A18">
        <v>1017</v>
      </c>
      <c r="B18" t="s">
        <v>20</v>
      </c>
      <c r="C18" t="s">
        <v>62</v>
      </c>
      <c r="D18" t="s">
        <v>130</v>
      </c>
      <c r="E18" s="2">
        <v>44574</v>
      </c>
      <c r="H18" s="1">
        <v>1292</v>
      </c>
      <c r="I18" s="1">
        <v>1900</v>
      </c>
      <c r="J18">
        <v>3</v>
      </c>
      <c r="K18" s="1"/>
      <c r="L18" s="1"/>
      <c r="M18" s="1">
        <f t="shared" si="0"/>
        <v>0</v>
      </c>
      <c r="N18" t="s">
        <v>22</v>
      </c>
      <c r="O18" t="s">
        <v>32</v>
      </c>
      <c r="P18">
        <v>2043</v>
      </c>
      <c r="Q18">
        <v>3043</v>
      </c>
      <c r="R18" t="s">
        <v>66</v>
      </c>
      <c r="S18" t="s">
        <v>25</v>
      </c>
      <c r="T18">
        <v>21</v>
      </c>
      <c r="U18">
        <f t="shared" si="1"/>
        <v>1</v>
      </c>
      <c r="V18">
        <f t="shared" si="2"/>
        <v>2022</v>
      </c>
      <c r="W18">
        <f t="shared" si="3"/>
        <v>5700</v>
      </c>
      <c r="X18">
        <f t="shared" si="4"/>
        <v>285</v>
      </c>
    </row>
    <row r="19" spans="1:24" x14ac:dyDescent="0.25">
      <c r="A19">
        <v>1018</v>
      </c>
      <c r="B19" t="s">
        <v>20</v>
      </c>
      <c r="C19" t="s">
        <v>62</v>
      </c>
      <c r="D19" t="s">
        <v>131</v>
      </c>
      <c r="E19" s="2">
        <v>44575</v>
      </c>
      <c r="H19" s="1">
        <v>1496</v>
      </c>
      <c r="I19" s="1">
        <v>2200</v>
      </c>
      <c r="J19">
        <v>1</v>
      </c>
      <c r="K19" s="1"/>
      <c r="L19" s="1"/>
      <c r="M19" s="1">
        <f t="shared" si="0"/>
        <v>0</v>
      </c>
      <c r="N19" t="s">
        <v>22</v>
      </c>
      <c r="O19" t="s">
        <v>23</v>
      </c>
      <c r="P19">
        <v>2044</v>
      </c>
      <c r="Q19">
        <v>3044</v>
      </c>
      <c r="R19" t="s">
        <v>67</v>
      </c>
      <c r="S19" t="s">
        <v>29</v>
      </c>
      <c r="T19">
        <v>19</v>
      </c>
      <c r="U19">
        <f t="shared" si="1"/>
        <v>1</v>
      </c>
      <c r="V19">
        <f t="shared" si="2"/>
        <v>2022</v>
      </c>
      <c r="W19">
        <f t="shared" si="3"/>
        <v>2200</v>
      </c>
      <c r="X19">
        <f t="shared" si="4"/>
        <v>110</v>
      </c>
    </row>
    <row r="20" spans="1:24" x14ac:dyDescent="0.25">
      <c r="A20">
        <v>1019</v>
      </c>
      <c r="B20" t="s">
        <v>30</v>
      </c>
      <c r="C20" t="s">
        <v>65</v>
      </c>
      <c r="D20" t="s">
        <v>132</v>
      </c>
      <c r="E20" s="2">
        <v>44576</v>
      </c>
      <c r="H20" s="1">
        <v>1340</v>
      </c>
      <c r="I20" s="1">
        <v>2000</v>
      </c>
      <c r="J20">
        <v>2</v>
      </c>
      <c r="K20" s="1"/>
      <c r="L20" s="1"/>
      <c r="M20" s="1">
        <f t="shared" si="0"/>
        <v>0</v>
      </c>
      <c r="N20" t="s">
        <v>26</v>
      </c>
      <c r="O20" t="s">
        <v>27</v>
      </c>
      <c r="P20">
        <v>2045</v>
      </c>
      <c r="Q20">
        <v>3045</v>
      </c>
      <c r="R20" t="s">
        <v>69</v>
      </c>
      <c r="S20" t="s">
        <v>25</v>
      </c>
      <c r="T20">
        <v>36</v>
      </c>
      <c r="U20">
        <f t="shared" si="1"/>
        <v>1</v>
      </c>
      <c r="V20">
        <f t="shared" si="2"/>
        <v>2022</v>
      </c>
      <c r="W20">
        <f t="shared" si="3"/>
        <v>4000</v>
      </c>
      <c r="X20">
        <f t="shared" si="4"/>
        <v>200</v>
      </c>
    </row>
    <row r="21" spans="1:24" x14ac:dyDescent="0.25">
      <c r="A21">
        <v>1020</v>
      </c>
      <c r="B21" t="s">
        <v>30</v>
      </c>
      <c r="C21" t="s">
        <v>65</v>
      </c>
      <c r="D21" t="s">
        <v>132</v>
      </c>
      <c r="E21" s="2">
        <v>44576</v>
      </c>
      <c r="H21" s="1">
        <v>1340</v>
      </c>
      <c r="I21" s="1">
        <v>2000</v>
      </c>
      <c r="J21">
        <v>2</v>
      </c>
      <c r="K21" s="1"/>
      <c r="L21" s="1"/>
      <c r="M21" s="1">
        <f t="shared" si="0"/>
        <v>0</v>
      </c>
      <c r="N21" t="s">
        <v>26</v>
      </c>
      <c r="O21" t="s">
        <v>27</v>
      </c>
      <c r="P21">
        <v>2045</v>
      </c>
      <c r="Q21">
        <v>3045</v>
      </c>
      <c r="R21" t="s">
        <v>69</v>
      </c>
      <c r="S21" t="s">
        <v>25</v>
      </c>
      <c r="T21">
        <v>36</v>
      </c>
      <c r="U21">
        <f t="shared" si="1"/>
        <v>1</v>
      </c>
      <c r="V21">
        <f t="shared" si="2"/>
        <v>2022</v>
      </c>
      <c r="W21">
        <f t="shared" si="3"/>
        <v>4000</v>
      </c>
      <c r="X21">
        <f t="shared" si="4"/>
        <v>200</v>
      </c>
    </row>
    <row r="22" spans="1:24" x14ac:dyDescent="0.25">
      <c r="A22">
        <v>1021</v>
      </c>
      <c r="B22" t="s">
        <v>35</v>
      </c>
      <c r="C22" t="s">
        <v>68</v>
      </c>
      <c r="D22" t="s">
        <v>133</v>
      </c>
      <c r="E22" s="2">
        <v>44577</v>
      </c>
      <c r="H22" s="1">
        <v>1541</v>
      </c>
      <c r="I22" s="1">
        <v>2300</v>
      </c>
      <c r="J22">
        <v>1</v>
      </c>
      <c r="K22" s="1"/>
      <c r="L22" s="1"/>
      <c r="M22" s="1">
        <f t="shared" si="0"/>
        <v>0</v>
      </c>
      <c r="N22" t="s">
        <v>22</v>
      </c>
      <c r="O22" t="s">
        <v>23</v>
      </c>
      <c r="P22">
        <v>2046</v>
      </c>
      <c r="Q22">
        <v>3046</v>
      </c>
      <c r="R22" t="s">
        <v>70</v>
      </c>
      <c r="S22" t="s">
        <v>29</v>
      </c>
      <c r="T22">
        <v>34</v>
      </c>
      <c r="U22">
        <f t="shared" si="1"/>
        <v>1</v>
      </c>
      <c r="V22">
        <f t="shared" si="2"/>
        <v>2022</v>
      </c>
      <c r="W22">
        <f t="shared" si="3"/>
        <v>2300</v>
      </c>
      <c r="X22">
        <f t="shared" si="4"/>
        <v>115</v>
      </c>
    </row>
    <row r="23" spans="1:24" x14ac:dyDescent="0.25">
      <c r="A23">
        <v>1022</v>
      </c>
      <c r="B23" t="s">
        <v>35</v>
      </c>
      <c r="C23" t="s">
        <v>68</v>
      </c>
      <c r="D23" t="s">
        <v>133</v>
      </c>
      <c r="E23" s="2">
        <v>44577</v>
      </c>
      <c r="H23" s="1">
        <v>1541</v>
      </c>
      <c r="I23" s="1">
        <v>2300</v>
      </c>
      <c r="J23">
        <v>1</v>
      </c>
      <c r="K23" s="1"/>
      <c r="L23" s="1"/>
      <c r="M23" s="1">
        <f t="shared" si="0"/>
        <v>0</v>
      </c>
      <c r="N23" t="s">
        <v>22</v>
      </c>
      <c r="O23" t="s">
        <v>23</v>
      </c>
      <c r="P23">
        <v>2046</v>
      </c>
      <c r="Q23">
        <v>3046</v>
      </c>
      <c r="R23" t="s">
        <v>70</v>
      </c>
      <c r="S23" t="s">
        <v>29</v>
      </c>
      <c r="T23">
        <v>34</v>
      </c>
      <c r="U23">
        <f t="shared" si="1"/>
        <v>1</v>
      </c>
      <c r="V23">
        <f t="shared" si="2"/>
        <v>2022</v>
      </c>
      <c r="W23">
        <f t="shared" si="3"/>
        <v>2300</v>
      </c>
      <c r="X23">
        <f t="shared" si="4"/>
        <v>115</v>
      </c>
    </row>
    <row r="24" spans="1:24" x14ac:dyDescent="0.25">
      <c r="A24">
        <v>1023</v>
      </c>
      <c r="B24" t="s">
        <v>20</v>
      </c>
      <c r="C24" t="s">
        <v>71</v>
      </c>
      <c r="D24" t="s">
        <v>72</v>
      </c>
      <c r="E24" s="2">
        <v>44578</v>
      </c>
      <c r="H24" s="1">
        <v>2250</v>
      </c>
      <c r="I24" s="1">
        <v>3000</v>
      </c>
      <c r="J24">
        <v>2</v>
      </c>
      <c r="K24" s="1"/>
      <c r="L24" s="1"/>
      <c r="M24" s="1">
        <f t="shared" si="0"/>
        <v>0</v>
      </c>
      <c r="N24" t="s">
        <v>26</v>
      </c>
      <c r="O24" t="s">
        <v>23</v>
      </c>
      <c r="P24">
        <v>2047</v>
      </c>
      <c r="Q24">
        <v>3047</v>
      </c>
      <c r="R24" t="s">
        <v>73</v>
      </c>
      <c r="S24" t="s">
        <v>25</v>
      </c>
      <c r="T24">
        <v>40</v>
      </c>
      <c r="U24">
        <f t="shared" si="1"/>
        <v>1</v>
      </c>
      <c r="V24">
        <f t="shared" si="2"/>
        <v>2022</v>
      </c>
      <c r="W24">
        <f t="shared" si="3"/>
        <v>6000</v>
      </c>
      <c r="X24">
        <f t="shared" si="4"/>
        <v>300</v>
      </c>
    </row>
    <row r="25" spans="1:24" x14ac:dyDescent="0.25">
      <c r="A25">
        <v>1024</v>
      </c>
      <c r="B25" t="s">
        <v>20</v>
      </c>
      <c r="C25" t="s">
        <v>71</v>
      </c>
      <c r="D25" t="s">
        <v>74</v>
      </c>
      <c r="E25" s="2">
        <v>44579</v>
      </c>
      <c r="H25" s="1">
        <v>2625</v>
      </c>
      <c r="I25" s="1">
        <v>3500</v>
      </c>
      <c r="J25">
        <v>1</v>
      </c>
      <c r="K25" s="1"/>
      <c r="L25" s="1"/>
      <c r="M25" s="1">
        <f t="shared" si="0"/>
        <v>0</v>
      </c>
      <c r="N25" t="s">
        <v>22</v>
      </c>
      <c r="O25" t="s">
        <v>27</v>
      </c>
      <c r="P25">
        <v>2048</v>
      </c>
      <c r="Q25">
        <v>3048</v>
      </c>
      <c r="R25" t="s">
        <v>75</v>
      </c>
      <c r="S25" t="s">
        <v>29</v>
      </c>
      <c r="T25">
        <v>38</v>
      </c>
      <c r="U25">
        <f t="shared" si="1"/>
        <v>1</v>
      </c>
      <c r="V25">
        <f t="shared" si="2"/>
        <v>2022</v>
      </c>
      <c r="W25">
        <f t="shared" si="3"/>
        <v>3500</v>
      </c>
      <c r="X25">
        <f t="shared" si="4"/>
        <v>175</v>
      </c>
    </row>
    <row r="26" spans="1:24" x14ac:dyDescent="0.25">
      <c r="A26">
        <v>1025</v>
      </c>
      <c r="B26" t="s">
        <v>76</v>
      </c>
      <c r="C26" t="s">
        <v>77</v>
      </c>
      <c r="D26" t="s">
        <v>45</v>
      </c>
      <c r="E26" s="2">
        <v>44582</v>
      </c>
      <c r="H26" s="1">
        <v>737</v>
      </c>
      <c r="I26" s="1">
        <v>1100</v>
      </c>
      <c r="J26">
        <v>2</v>
      </c>
      <c r="K26" s="1"/>
      <c r="L26" s="1"/>
      <c r="M26" s="1">
        <f t="shared" si="0"/>
        <v>0</v>
      </c>
      <c r="N26" t="s">
        <v>22</v>
      </c>
      <c r="O26" t="s">
        <v>23</v>
      </c>
      <c r="P26">
        <v>2021</v>
      </c>
      <c r="Q26">
        <v>3021</v>
      </c>
      <c r="R26" t="s">
        <v>46</v>
      </c>
      <c r="S26" t="s">
        <v>25</v>
      </c>
      <c r="T26">
        <v>24</v>
      </c>
      <c r="U26">
        <f t="shared" si="1"/>
        <v>1</v>
      </c>
      <c r="V26">
        <f t="shared" si="2"/>
        <v>2022</v>
      </c>
      <c r="W26">
        <f t="shared" si="3"/>
        <v>2200</v>
      </c>
      <c r="X26">
        <f t="shared" si="4"/>
        <v>110</v>
      </c>
    </row>
    <row r="27" spans="1:24" x14ac:dyDescent="0.25">
      <c r="A27">
        <v>1026</v>
      </c>
      <c r="B27" t="s">
        <v>76</v>
      </c>
      <c r="C27" t="s">
        <v>77</v>
      </c>
      <c r="D27" t="s">
        <v>47</v>
      </c>
      <c r="E27" s="2">
        <v>44583</v>
      </c>
      <c r="H27" s="1">
        <v>938</v>
      </c>
      <c r="I27" s="1">
        <v>1400</v>
      </c>
      <c r="J27">
        <v>1</v>
      </c>
      <c r="K27" s="1"/>
      <c r="L27" s="1"/>
      <c r="M27" s="1">
        <f t="shared" si="0"/>
        <v>0</v>
      </c>
      <c r="N27" t="s">
        <v>26</v>
      </c>
      <c r="O27" t="s">
        <v>27</v>
      </c>
      <c r="P27">
        <v>2022</v>
      </c>
      <c r="Q27">
        <v>3022</v>
      </c>
      <c r="R27" t="s">
        <v>48</v>
      </c>
      <c r="S27" t="s">
        <v>29</v>
      </c>
      <c r="T27">
        <v>21</v>
      </c>
      <c r="U27">
        <f t="shared" si="1"/>
        <v>1</v>
      </c>
      <c r="V27">
        <f t="shared" si="2"/>
        <v>2022</v>
      </c>
      <c r="W27">
        <f t="shared" si="3"/>
        <v>1400</v>
      </c>
      <c r="X27">
        <f t="shared" si="4"/>
        <v>0</v>
      </c>
    </row>
    <row r="28" spans="1:24" x14ac:dyDescent="0.25">
      <c r="A28">
        <v>1027</v>
      </c>
      <c r="B28" t="s">
        <v>30</v>
      </c>
      <c r="C28" t="s">
        <v>80</v>
      </c>
      <c r="D28" t="s">
        <v>50</v>
      </c>
      <c r="E28" s="2">
        <v>44584</v>
      </c>
      <c r="H28" s="1">
        <v>1190</v>
      </c>
      <c r="I28" s="1">
        <v>1700</v>
      </c>
      <c r="J28">
        <v>3</v>
      </c>
      <c r="K28" s="1"/>
      <c r="L28" s="1"/>
      <c r="M28" s="1">
        <f t="shared" si="0"/>
        <v>0</v>
      </c>
      <c r="N28" t="s">
        <v>22</v>
      </c>
      <c r="O28" t="s">
        <v>32</v>
      </c>
      <c r="P28">
        <v>2023</v>
      </c>
      <c r="Q28">
        <v>3023</v>
      </c>
      <c r="R28" t="s">
        <v>51</v>
      </c>
      <c r="S28" t="s">
        <v>25</v>
      </c>
      <c r="T28">
        <v>20</v>
      </c>
      <c r="U28">
        <f t="shared" si="1"/>
        <v>1</v>
      </c>
      <c r="V28">
        <f t="shared" si="2"/>
        <v>2022</v>
      </c>
      <c r="W28">
        <f t="shared" si="3"/>
        <v>5100</v>
      </c>
      <c r="X28">
        <f t="shared" si="4"/>
        <v>255</v>
      </c>
    </row>
    <row r="29" spans="1:24" x14ac:dyDescent="0.25">
      <c r="A29">
        <v>1028</v>
      </c>
      <c r="B29" t="s">
        <v>30</v>
      </c>
      <c r="C29" t="s">
        <v>80</v>
      </c>
      <c r="D29" t="s">
        <v>52</v>
      </c>
      <c r="E29" s="2">
        <v>44585</v>
      </c>
      <c r="H29" s="1">
        <v>1400</v>
      </c>
      <c r="I29" s="1">
        <v>2000</v>
      </c>
      <c r="J29">
        <v>1</v>
      </c>
      <c r="K29" s="1"/>
      <c r="L29" s="1"/>
      <c r="M29" s="1">
        <f t="shared" si="0"/>
        <v>0</v>
      </c>
      <c r="N29" t="s">
        <v>22</v>
      </c>
      <c r="O29" t="s">
        <v>23</v>
      </c>
      <c r="P29">
        <v>2024</v>
      </c>
      <c r="Q29">
        <v>3024</v>
      </c>
      <c r="R29" t="s">
        <v>53</v>
      </c>
      <c r="S29" t="s">
        <v>29</v>
      </c>
      <c r="T29">
        <v>18</v>
      </c>
      <c r="U29">
        <f t="shared" si="1"/>
        <v>1</v>
      </c>
      <c r="V29">
        <f t="shared" si="2"/>
        <v>2022</v>
      </c>
      <c r="W29">
        <f t="shared" si="3"/>
        <v>2000</v>
      </c>
      <c r="X29">
        <f t="shared" si="4"/>
        <v>0</v>
      </c>
    </row>
    <row r="30" spans="1:24" x14ac:dyDescent="0.25">
      <c r="A30">
        <v>1029</v>
      </c>
      <c r="B30" t="s">
        <v>35</v>
      </c>
      <c r="C30" t="s">
        <v>83</v>
      </c>
      <c r="D30" t="s">
        <v>55</v>
      </c>
      <c r="E30" s="2">
        <v>44586</v>
      </c>
      <c r="H30" s="1">
        <v>975</v>
      </c>
      <c r="I30" s="1">
        <v>1500</v>
      </c>
      <c r="J30">
        <v>2</v>
      </c>
      <c r="K30" s="1"/>
      <c r="L30" s="1"/>
      <c r="M30" s="1">
        <f t="shared" si="0"/>
        <v>0</v>
      </c>
      <c r="N30" t="s">
        <v>26</v>
      </c>
      <c r="O30" t="s">
        <v>27</v>
      </c>
      <c r="P30">
        <v>2025</v>
      </c>
      <c r="Q30">
        <v>3025</v>
      </c>
      <c r="R30" t="s">
        <v>56</v>
      </c>
      <c r="S30" t="s">
        <v>25</v>
      </c>
      <c r="T30">
        <v>28</v>
      </c>
      <c r="U30">
        <f t="shared" si="1"/>
        <v>1</v>
      </c>
      <c r="V30">
        <f t="shared" si="2"/>
        <v>2022</v>
      </c>
      <c r="W30">
        <f t="shared" si="3"/>
        <v>3000</v>
      </c>
      <c r="X30">
        <f t="shared" si="4"/>
        <v>150</v>
      </c>
    </row>
    <row r="31" spans="1:24" x14ac:dyDescent="0.25">
      <c r="A31">
        <v>1030</v>
      </c>
      <c r="B31" t="s">
        <v>35</v>
      </c>
      <c r="C31" t="s">
        <v>83</v>
      </c>
      <c r="D31" t="s">
        <v>57</v>
      </c>
      <c r="E31" s="2">
        <v>44587</v>
      </c>
      <c r="H31" s="1">
        <v>1170</v>
      </c>
      <c r="I31" s="1">
        <v>1800</v>
      </c>
      <c r="J31">
        <v>1</v>
      </c>
      <c r="K31" s="1"/>
      <c r="L31" s="1"/>
      <c r="M31" s="1">
        <f t="shared" si="0"/>
        <v>0</v>
      </c>
      <c r="N31" t="s">
        <v>22</v>
      </c>
      <c r="O31" t="s">
        <v>23</v>
      </c>
      <c r="P31">
        <v>2026</v>
      </c>
      <c r="Q31">
        <v>3026</v>
      </c>
      <c r="R31" t="s">
        <v>58</v>
      </c>
      <c r="S31" t="s">
        <v>29</v>
      </c>
      <c r="T31">
        <v>26</v>
      </c>
      <c r="U31">
        <f t="shared" si="1"/>
        <v>1</v>
      </c>
      <c r="V31">
        <f t="shared" si="2"/>
        <v>2022</v>
      </c>
      <c r="W31">
        <f t="shared" si="3"/>
        <v>1800</v>
      </c>
      <c r="X31">
        <f t="shared" si="4"/>
        <v>0</v>
      </c>
    </row>
    <row r="32" spans="1:24" x14ac:dyDescent="0.25">
      <c r="A32">
        <v>1031</v>
      </c>
      <c r="B32" t="s">
        <v>76</v>
      </c>
      <c r="C32" t="s">
        <v>86</v>
      </c>
      <c r="D32" t="s">
        <v>126</v>
      </c>
      <c r="E32" s="2">
        <v>44588</v>
      </c>
      <c r="H32" s="1">
        <v>1656</v>
      </c>
      <c r="I32" s="1">
        <v>2300</v>
      </c>
      <c r="J32">
        <v>2</v>
      </c>
      <c r="K32" s="1"/>
      <c r="L32" s="1"/>
      <c r="M32" s="1">
        <f t="shared" si="0"/>
        <v>0</v>
      </c>
      <c r="N32" t="s">
        <v>26</v>
      </c>
      <c r="O32" t="s">
        <v>23</v>
      </c>
      <c r="P32">
        <v>2027</v>
      </c>
      <c r="Q32">
        <v>3027</v>
      </c>
      <c r="R32" t="s">
        <v>60</v>
      </c>
      <c r="S32" t="s">
        <v>25</v>
      </c>
      <c r="T32">
        <v>30</v>
      </c>
      <c r="U32">
        <f t="shared" si="1"/>
        <v>1</v>
      </c>
      <c r="V32">
        <f t="shared" si="2"/>
        <v>2022</v>
      </c>
      <c r="W32">
        <f t="shared" si="3"/>
        <v>4600</v>
      </c>
      <c r="X32">
        <f t="shared" si="4"/>
        <v>230</v>
      </c>
    </row>
    <row r="33" spans="1:24" x14ac:dyDescent="0.25">
      <c r="A33">
        <v>1032</v>
      </c>
      <c r="B33" t="s">
        <v>76</v>
      </c>
      <c r="C33" t="s">
        <v>86</v>
      </c>
      <c r="D33" t="s">
        <v>127</v>
      </c>
      <c r="E33" s="2">
        <v>44589</v>
      </c>
      <c r="H33" s="1">
        <v>1872</v>
      </c>
      <c r="I33" s="1">
        <v>2600</v>
      </c>
      <c r="J33">
        <v>1</v>
      </c>
      <c r="K33" s="1"/>
      <c r="L33" s="1"/>
      <c r="M33" s="1">
        <f t="shared" si="0"/>
        <v>0</v>
      </c>
      <c r="N33" t="s">
        <v>22</v>
      </c>
      <c r="O33" t="s">
        <v>27</v>
      </c>
      <c r="P33">
        <v>2028</v>
      </c>
      <c r="Q33">
        <v>3028</v>
      </c>
      <c r="R33" t="s">
        <v>61</v>
      </c>
      <c r="S33" t="s">
        <v>29</v>
      </c>
      <c r="T33">
        <v>28</v>
      </c>
      <c r="U33">
        <f t="shared" si="1"/>
        <v>1</v>
      </c>
      <c r="V33">
        <f t="shared" si="2"/>
        <v>2022</v>
      </c>
      <c r="W33">
        <f t="shared" si="3"/>
        <v>2600</v>
      </c>
      <c r="X33">
        <f t="shared" si="4"/>
        <v>130</v>
      </c>
    </row>
    <row r="34" spans="1:24" x14ac:dyDescent="0.25">
      <c r="A34">
        <v>1033</v>
      </c>
      <c r="B34" t="s">
        <v>87</v>
      </c>
      <c r="C34" t="s">
        <v>88</v>
      </c>
      <c r="D34" t="s">
        <v>134</v>
      </c>
      <c r="E34" s="2">
        <v>44593</v>
      </c>
      <c r="H34" s="1">
        <v>1460</v>
      </c>
      <c r="I34" s="1">
        <v>2000</v>
      </c>
      <c r="J34">
        <v>2</v>
      </c>
      <c r="K34" s="1"/>
      <c r="L34" s="1"/>
      <c r="M34" s="1">
        <f t="shared" si="0"/>
        <v>0</v>
      </c>
      <c r="N34" t="s">
        <v>22</v>
      </c>
      <c r="O34" t="s">
        <v>23</v>
      </c>
      <c r="P34">
        <v>2061</v>
      </c>
      <c r="Q34">
        <v>3061</v>
      </c>
      <c r="R34" t="s">
        <v>78</v>
      </c>
      <c r="S34" t="s">
        <v>25</v>
      </c>
      <c r="T34">
        <v>35</v>
      </c>
      <c r="U34">
        <f t="shared" si="1"/>
        <v>2</v>
      </c>
      <c r="V34">
        <f t="shared" si="2"/>
        <v>2022</v>
      </c>
      <c r="W34">
        <f t="shared" si="3"/>
        <v>4000</v>
      </c>
      <c r="X34">
        <f t="shared" si="4"/>
        <v>200</v>
      </c>
    </row>
    <row r="35" spans="1:24" x14ac:dyDescent="0.25">
      <c r="A35">
        <v>1034</v>
      </c>
      <c r="B35" t="s">
        <v>87</v>
      </c>
      <c r="C35" t="s">
        <v>88</v>
      </c>
      <c r="D35" t="s">
        <v>120</v>
      </c>
      <c r="E35" s="2">
        <v>44593</v>
      </c>
      <c r="H35" s="1">
        <v>840</v>
      </c>
      <c r="I35" s="1">
        <v>1200</v>
      </c>
      <c r="J35">
        <v>2</v>
      </c>
      <c r="K35" s="1"/>
      <c r="L35" s="1"/>
      <c r="M35" s="1">
        <f t="shared" si="0"/>
        <v>0</v>
      </c>
      <c r="N35" t="s">
        <v>22</v>
      </c>
      <c r="O35" t="s">
        <v>23</v>
      </c>
      <c r="P35">
        <v>2001</v>
      </c>
      <c r="Q35">
        <v>3001</v>
      </c>
      <c r="R35" t="s">
        <v>24</v>
      </c>
      <c r="S35" t="s">
        <v>25</v>
      </c>
      <c r="T35">
        <v>25</v>
      </c>
      <c r="U35">
        <f t="shared" si="1"/>
        <v>2</v>
      </c>
      <c r="V35">
        <f t="shared" si="2"/>
        <v>2022</v>
      </c>
      <c r="W35">
        <f t="shared" si="3"/>
        <v>2400</v>
      </c>
      <c r="X35">
        <f t="shared" si="4"/>
        <v>120</v>
      </c>
    </row>
    <row r="36" spans="1:24" x14ac:dyDescent="0.25">
      <c r="A36">
        <v>1035</v>
      </c>
      <c r="B36" t="s">
        <v>30</v>
      </c>
      <c r="C36" t="s">
        <v>91</v>
      </c>
      <c r="D36" t="s">
        <v>135</v>
      </c>
      <c r="E36" s="2">
        <v>44594</v>
      </c>
      <c r="H36" s="1">
        <v>1825</v>
      </c>
      <c r="I36" s="1">
        <v>2500</v>
      </c>
      <c r="J36">
        <v>1</v>
      </c>
      <c r="K36" s="1"/>
      <c r="L36" s="1"/>
      <c r="M36" s="1">
        <f t="shared" si="0"/>
        <v>0</v>
      </c>
      <c r="N36" t="s">
        <v>26</v>
      </c>
      <c r="O36" t="s">
        <v>27</v>
      </c>
      <c r="P36">
        <v>2062</v>
      </c>
      <c r="Q36">
        <v>3062</v>
      </c>
      <c r="R36" t="s">
        <v>79</v>
      </c>
      <c r="S36" t="s">
        <v>29</v>
      </c>
      <c r="T36">
        <v>33</v>
      </c>
      <c r="U36">
        <f t="shared" si="1"/>
        <v>2</v>
      </c>
      <c r="V36">
        <f t="shared" si="2"/>
        <v>2022</v>
      </c>
      <c r="W36">
        <f t="shared" si="3"/>
        <v>2500</v>
      </c>
      <c r="X36">
        <f t="shared" si="4"/>
        <v>125</v>
      </c>
    </row>
    <row r="37" spans="1:24" x14ac:dyDescent="0.25">
      <c r="A37">
        <v>1036</v>
      </c>
      <c r="B37" t="s">
        <v>30</v>
      </c>
      <c r="C37" t="s">
        <v>91</v>
      </c>
      <c r="D37" t="s">
        <v>121</v>
      </c>
      <c r="E37" s="2">
        <v>44594</v>
      </c>
      <c r="H37" s="1">
        <v>1050</v>
      </c>
      <c r="I37" s="1">
        <v>1500</v>
      </c>
      <c r="J37">
        <v>1</v>
      </c>
      <c r="K37" s="1"/>
      <c r="L37" s="1"/>
      <c r="M37" s="1">
        <f t="shared" si="0"/>
        <v>0</v>
      </c>
      <c r="N37" t="s">
        <v>26</v>
      </c>
      <c r="O37" t="s">
        <v>27</v>
      </c>
      <c r="P37">
        <v>2002</v>
      </c>
      <c r="Q37">
        <v>3002</v>
      </c>
      <c r="R37" t="s">
        <v>28</v>
      </c>
      <c r="S37" t="s">
        <v>29</v>
      </c>
      <c r="T37">
        <v>22</v>
      </c>
      <c r="U37">
        <f t="shared" si="1"/>
        <v>2</v>
      </c>
      <c r="V37">
        <f t="shared" si="2"/>
        <v>2022</v>
      </c>
      <c r="W37">
        <f t="shared" si="3"/>
        <v>1500</v>
      </c>
      <c r="X37">
        <f t="shared" si="4"/>
        <v>0</v>
      </c>
    </row>
    <row r="38" spans="1:24" x14ac:dyDescent="0.25">
      <c r="A38">
        <v>1037</v>
      </c>
      <c r="B38" t="s">
        <v>35</v>
      </c>
      <c r="C38" t="s">
        <v>94</v>
      </c>
      <c r="D38" t="s">
        <v>136</v>
      </c>
      <c r="E38" s="2">
        <v>44595</v>
      </c>
      <c r="H38" s="1">
        <v>1105</v>
      </c>
      <c r="I38" s="1">
        <v>1700</v>
      </c>
      <c r="J38">
        <v>3</v>
      </c>
      <c r="K38" s="1"/>
      <c r="L38" s="1"/>
      <c r="M38" s="1">
        <f t="shared" si="0"/>
        <v>0</v>
      </c>
      <c r="N38" t="s">
        <v>22</v>
      </c>
      <c r="O38" t="s">
        <v>32</v>
      </c>
      <c r="P38">
        <v>2063</v>
      </c>
      <c r="Q38">
        <v>3063</v>
      </c>
      <c r="R38" t="s">
        <v>81</v>
      </c>
      <c r="S38" t="s">
        <v>25</v>
      </c>
      <c r="T38">
        <v>22</v>
      </c>
      <c r="U38">
        <f t="shared" si="1"/>
        <v>2</v>
      </c>
      <c r="V38">
        <f t="shared" si="2"/>
        <v>2022</v>
      </c>
      <c r="W38">
        <f t="shared" si="3"/>
        <v>5100</v>
      </c>
      <c r="X38">
        <f t="shared" si="4"/>
        <v>255</v>
      </c>
    </row>
    <row r="39" spans="1:24" x14ac:dyDescent="0.25">
      <c r="A39">
        <v>1038</v>
      </c>
      <c r="B39" t="s">
        <v>35</v>
      </c>
      <c r="C39" t="s">
        <v>94</v>
      </c>
      <c r="D39" t="s">
        <v>122</v>
      </c>
      <c r="E39" s="2">
        <v>44595</v>
      </c>
      <c r="H39" s="1">
        <v>1260</v>
      </c>
      <c r="I39" s="1">
        <v>1800</v>
      </c>
      <c r="J39">
        <v>3</v>
      </c>
      <c r="K39" s="1"/>
      <c r="L39" s="1"/>
      <c r="M39" s="1">
        <f t="shared" si="0"/>
        <v>0</v>
      </c>
      <c r="N39" t="s">
        <v>22</v>
      </c>
      <c r="O39" t="s">
        <v>32</v>
      </c>
      <c r="P39">
        <v>2003</v>
      </c>
      <c r="Q39">
        <v>3003</v>
      </c>
      <c r="R39" t="s">
        <v>33</v>
      </c>
      <c r="S39" t="s">
        <v>25</v>
      </c>
      <c r="T39">
        <v>18</v>
      </c>
      <c r="U39">
        <f t="shared" si="1"/>
        <v>2</v>
      </c>
      <c r="V39">
        <f t="shared" si="2"/>
        <v>2022</v>
      </c>
      <c r="W39">
        <f t="shared" si="3"/>
        <v>5400</v>
      </c>
      <c r="X39">
        <f t="shared" si="4"/>
        <v>270</v>
      </c>
    </row>
    <row r="40" spans="1:24" x14ac:dyDescent="0.25">
      <c r="A40">
        <v>1039</v>
      </c>
      <c r="B40" t="s">
        <v>20</v>
      </c>
      <c r="C40" t="s">
        <v>41</v>
      </c>
      <c r="D40" t="s">
        <v>137</v>
      </c>
      <c r="E40" s="2">
        <v>44596</v>
      </c>
      <c r="H40" s="1">
        <v>1365</v>
      </c>
      <c r="I40" s="1">
        <v>2100</v>
      </c>
      <c r="J40">
        <v>1</v>
      </c>
      <c r="K40" s="1"/>
      <c r="L40" s="1"/>
      <c r="M40" s="1">
        <f t="shared" si="0"/>
        <v>0</v>
      </c>
      <c r="N40" t="s">
        <v>22</v>
      </c>
      <c r="O40" t="s">
        <v>23</v>
      </c>
      <c r="P40">
        <v>2064</v>
      </c>
      <c r="Q40">
        <v>3064</v>
      </c>
      <c r="R40" t="s">
        <v>82</v>
      </c>
      <c r="S40" t="s">
        <v>29</v>
      </c>
      <c r="T40">
        <v>20</v>
      </c>
      <c r="U40">
        <f t="shared" si="1"/>
        <v>2</v>
      </c>
      <c r="V40">
        <f t="shared" si="2"/>
        <v>2022</v>
      </c>
      <c r="W40">
        <f t="shared" si="3"/>
        <v>2100</v>
      </c>
      <c r="X40">
        <f t="shared" si="4"/>
        <v>105</v>
      </c>
    </row>
    <row r="41" spans="1:24" x14ac:dyDescent="0.25">
      <c r="A41">
        <v>1040</v>
      </c>
      <c r="B41" t="s">
        <v>20</v>
      </c>
      <c r="C41" t="s">
        <v>41</v>
      </c>
      <c r="D41" t="s">
        <v>123</v>
      </c>
      <c r="E41" s="2">
        <v>44596</v>
      </c>
      <c r="H41" s="1">
        <v>1470</v>
      </c>
      <c r="I41" s="1">
        <v>2100</v>
      </c>
      <c r="J41">
        <v>1</v>
      </c>
      <c r="K41" s="1"/>
      <c r="L41" s="1"/>
      <c r="M41" s="1">
        <f t="shared" si="0"/>
        <v>0</v>
      </c>
      <c r="N41" t="s">
        <v>22</v>
      </c>
      <c r="O41" t="s">
        <v>23</v>
      </c>
      <c r="P41">
        <v>2004</v>
      </c>
      <c r="Q41">
        <v>3004</v>
      </c>
      <c r="R41" t="s">
        <v>34</v>
      </c>
      <c r="S41" t="s">
        <v>29</v>
      </c>
      <c r="T41">
        <v>16</v>
      </c>
      <c r="U41">
        <f t="shared" si="1"/>
        <v>2</v>
      </c>
      <c r="V41">
        <f t="shared" si="2"/>
        <v>2022</v>
      </c>
      <c r="W41">
        <f t="shared" si="3"/>
        <v>2100</v>
      </c>
      <c r="X41">
        <f t="shared" si="4"/>
        <v>105</v>
      </c>
    </row>
    <row r="42" spans="1:24" x14ac:dyDescent="0.25">
      <c r="A42">
        <v>1041</v>
      </c>
      <c r="B42" t="s">
        <v>99</v>
      </c>
      <c r="C42" t="s">
        <v>100</v>
      </c>
      <c r="D42" t="s">
        <v>138</v>
      </c>
      <c r="E42" s="2">
        <v>44597</v>
      </c>
      <c r="H42" s="1">
        <v>1035</v>
      </c>
      <c r="I42" s="1">
        <v>1500</v>
      </c>
      <c r="J42">
        <v>2</v>
      </c>
      <c r="K42" s="1"/>
      <c r="L42" s="1"/>
      <c r="M42" s="1">
        <f t="shared" si="0"/>
        <v>0</v>
      </c>
      <c r="N42" t="s">
        <v>26</v>
      </c>
      <c r="O42" t="s">
        <v>27</v>
      </c>
      <c r="P42">
        <v>2065</v>
      </c>
      <c r="Q42">
        <v>3065</v>
      </c>
      <c r="R42" t="s">
        <v>84</v>
      </c>
      <c r="S42" t="s">
        <v>25</v>
      </c>
      <c r="T42">
        <v>30</v>
      </c>
      <c r="U42">
        <f t="shared" si="1"/>
        <v>2</v>
      </c>
      <c r="V42">
        <f t="shared" si="2"/>
        <v>2022</v>
      </c>
      <c r="W42">
        <f t="shared" si="3"/>
        <v>3000</v>
      </c>
      <c r="X42">
        <f t="shared" si="4"/>
        <v>150</v>
      </c>
    </row>
    <row r="43" spans="1:24" x14ac:dyDescent="0.25">
      <c r="A43">
        <v>1042</v>
      </c>
      <c r="B43" t="s">
        <v>99</v>
      </c>
      <c r="C43" t="s">
        <v>100</v>
      </c>
      <c r="D43" t="s">
        <v>37</v>
      </c>
      <c r="E43" s="2">
        <v>44597</v>
      </c>
      <c r="H43" s="1">
        <v>896.99999999999989</v>
      </c>
      <c r="I43" s="1">
        <v>1300</v>
      </c>
      <c r="J43">
        <v>2</v>
      </c>
      <c r="K43" s="1"/>
      <c r="L43" s="1"/>
      <c r="M43" s="1">
        <f t="shared" si="0"/>
        <v>0</v>
      </c>
      <c r="N43" t="s">
        <v>26</v>
      </c>
      <c r="O43" t="s">
        <v>27</v>
      </c>
      <c r="P43">
        <v>2005</v>
      </c>
      <c r="Q43">
        <v>3005</v>
      </c>
      <c r="R43" t="s">
        <v>38</v>
      </c>
      <c r="S43" t="s">
        <v>25</v>
      </c>
      <c r="T43">
        <v>27</v>
      </c>
      <c r="U43">
        <f t="shared" si="1"/>
        <v>2</v>
      </c>
      <c r="V43">
        <f t="shared" si="2"/>
        <v>2022</v>
      </c>
      <c r="W43">
        <f t="shared" si="3"/>
        <v>2600</v>
      </c>
      <c r="X43">
        <f t="shared" si="4"/>
        <v>130</v>
      </c>
    </row>
    <row r="44" spans="1:24" x14ac:dyDescent="0.25">
      <c r="A44">
        <v>1043</v>
      </c>
      <c r="B44" t="s">
        <v>103</v>
      </c>
      <c r="C44" t="s">
        <v>104</v>
      </c>
      <c r="D44" t="s">
        <v>139</v>
      </c>
      <c r="E44" s="2">
        <v>44598</v>
      </c>
      <c r="H44" s="1">
        <v>1242</v>
      </c>
      <c r="I44" s="1">
        <v>1800</v>
      </c>
      <c r="J44">
        <v>1</v>
      </c>
      <c r="K44" s="1"/>
      <c r="L44" s="1"/>
      <c r="M44" s="1">
        <f t="shared" si="0"/>
        <v>0</v>
      </c>
      <c r="N44" t="s">
        <v>22</v>
      </c>
      <c r="O44" t="s">
        <v>23</v>
      </c>
      <c r="P44">
        <v>2066</v>
      </c>
      <c r="Q44">
        <v>3066</v>
      </c>
      <c r="R44" t="s">
        <v>85</v>
      </c>
      <c r="S44" t="s">
        <v>29</v>
      </c>
      <c r="T44">
        <v>28</v>
      </c>
      <c r="U44">
        <f t="shared" si="1"/>
        <v>2</v>
      </c>
      <c r="V44">
        <f t="shared" si="2"/>
        <v>2022</v>
      </c>
      <c r="W44">
        <f t="shared" si="3"/>
        <v>1800</v>
      </c>
      <c r="X44">
        <f t="shared" si="4"/>
        <v>0</v>
      </c>
    </row>
    <row r="45" spans="1:24" x14ac:dyDescent="0.25">
      <c r="A45">
        <v>1044</v>
      </c>
      <c r="B45" t="s">
        <v>103</v>
      </c>
      <c r="C45" t="s">
        <v>104</v>
      </c>
      <c r="D45" t="s">
        <v>39</v>
      </c>
      <c r="E45" s="2">
        <v>44598</v>
      </c>
      <c r="H45" s="1">
        <v>1104</v>
      </c>
      <c r="I45" s="1">
        <v>1600</v>
      </c>
      <c r="J45">
        <v>1</v>
      </c>
      <c r="K45" s="1"/>
      <c r="L45" s="1"/>
      <c r="M45" s="1">
        <f t="shared" si="0"/>
        <v>0</v>
      </c>
      <c r="N45" t="s">
        <v>22</v>
      </c>
      <c r="O45" t="s">
        <v>23</v>
      </c>
      <c r="P45">
        <v>2006</v>
      </c>
      <c r="Q45">
        <v>3006</v>
      </c>
      <c r="R45" t="s">
        <v>40</v>
      </c>
      <c r="S45" t="s">
        <v>29</v>
      </c>
      <c r="T45">
        <v>24</v>
      </c>
      <c r="U45">
        <f t="shared" si="1"/>
        <v>2</v>
      </c>
      <c r="V45">
        <f t="shared" si="2"/>
        <v>2022</v>
      </c>
      <c r="W45">
        <f t="shared" si="3"/>
        <v>1600</v>
      </c>
      <c r="X45">
        <f t="shared" si="4"/>
        <v>0</v>
      </c>
    </row>
    <row r="46" spans="1:24" x14ac:dyDescent="0.25">
      <c r="A46">
        <v>1045</v>
      </c>
      <c r="B46" t="s">
        <v>20</v>
      </c>
      <c r="C46" t="s">
        <v>21</v>
      </c>
      <c r="D46" t="s">
        <v>140</v>
      </c>
      <c r="E46" s="2">
        <v>44599</v>
      </c>
      <c r="H46" s="1">
        <v>2080</v>
      </c>
      <c r="I46" s="1">
        <v>3200</v>
      </c>
      <c r="J46">
        <v>2</v>
      </c>
      <c r="K46" s="1"/>
      <c r="L46" s="1"/>
      <c r="M46" s="1">
        <f t="shared" si="0"/>
        <v>0</v>
      </c>
      <c r="N46" t="s">
        <v>26</v>
      </c>
      <c r="O46" t="s">
        <v>23</v>
      </c>
      <c r="P46">
        <v>2067</v>
      </c>
      <c r="Q46">
        <v>3067</v>
      </c>
      <c r="R46" t="s">
        <v>73</v>
      </c>
      <c r="S46" t="s">
        <v>25</v>
      </c>
      <c r="T46">
        <v>42</v>
      </c>
      <c r="U46">
        <f t="shared" si="1"/>
        <v>2</v>
      </c>
      <c r="V46">
        <f t="shared" si="2"/>
        <v>2022</v>
      </c>
      <c r="W46">
        <f t="shared" si="3"/>
        <v>6400</v>
      </c>
      <c r="X46">
        <f t="shared" si="4"/>
        <v>320</v>
      </c>
    </row>
    <row r="47" spans="1:24" x14ac:dyDescent="0.25">
      <c r="A47">
        <v>1046</v>
      </c>
      <c r="B47" t="s">
        <v>20</v>
      </c>
      <c r="C47" t="s">
        <v>21</v>
      </c>
      <c r="D47" t="s">
        <v>124</v>
      </c>
      <c r="E47" s="2">
        <v>44599</v>
      </c>
      <c r="H47" s="1">
        <v>1496</v>
      </c>
      <c r="I47" s="1">
        <v>2200</v>
      </c>
      <c r="J47">
        <v>2</v>
      </c>
      <c r="K47" s="1"/>
      <c r="L47" s="1"/>
      <c r="M47" s="1">
        <f t="shared" si="0"/>
        <v>0</v>
      </c>
      <c r="N47" t="s">
        <v>26</v>
      </c>
      <c r="O47" t="s">
        <v>23</v>
      </c>
      <c r="P47">
        <v>2007</v>
      </c>
      <c r="Q47">
        <v>3007</v>
      </c>
      <c r="R47" t="s">
        <v>42</v>
      </c>
      <c r="S47" t="s">
        <v>25</v>
      </c>
      <c r="T47">
        <v>29</v>
      </c>
      <c r="U47">
        <f t="shared" si="1"/>
        <v>2</v>
      </c>
      <c r="V47">
        <f t="shared" si="2"/>
        <v>2022</v>
      </c>
      <c r="W47">
        <f t="shared" si="3"/>
        <v>4400</v>
      </c>
      <c r="X47">
        <f t="shared" si="4"/>
        <v>220</v>
      </c>
    </row>
    <row r="48" spans="1:24" x14ac:dyDescent="0.25">
      <c r="A48">
        <v>1047</v>
      </c>
      <c r="B48" t="s">
        <v>30</v>
      </c>
      <c r="C48" t="s">
        <v>109</v>
      </c>
      <c r="D48" t="s">
        <v>124</v>
      </c>
      <c r="E48" s="2">
        <v>44599</v>
      </c>
      <c r="H48" s="1">
        <v>1496</v>
      </c>
      <c r="I48" s="1">
        <v>2200</v>
      </c>
      <c r="J48">
        <v>2</v>
      </c>
      <c r="K48" s="1"/>
      <c r="L48" s="1"/>
      <c r="M48" s="1">
        <f t="shared" si="0"/>
        <v>0</v>
      </c>
      <c r="N48" t="s">
        <v>26</v>
      </c>
      <c r="O48" t="s">
        <v>23</v>
      </c>
      <c r="P48">
        <v>2007</v>
      </c>
      <c r="Q48">
        <v>3007</v>
      </c>
      <c r="R48" t="s">
        <v>42</v>
      </c>
      <c r="S48" t="s">
        <v>25</v>
      </c>
      <c r="T48">
        <v>29</v>
      </c>
      <c r="U48">
        <f t="shared" si="1"/>
        <v>2</v>
      </c>
      <c r="V48">
        <f t="shared" si="2"/>
        <v>2022</v>
      </c>
      <c r="W48">
        <f t="shared" si="3"/>
        <v>4400</v>
      </c>
      <c r="X48">
        <f t="shared" si="4"/>
        <v>220</v>
      </c>
    </row>
    <row r="49" spans="1:24" x14ac:dyDescent="0.25">
      <c r="A49">
        <v>1048</v>
      </c>
      <c r="B49" t="s">
        <v>30</v>
      </c>
      <c r="C49" t="s">
        <v>109</v>
      </c>
      <c r="D49" t="s">
        <v>141</v>
      </c>
      <c r="E49" s="2">
        <v>44600</v>
      </c>
      <c r="H49" s="1">
        <v>2405</v>
      </c>
      <c r="I49" s="1">
        <v>3700</v>
      </c>
      <c r="J49">
        <v>1</v>
      </c>
      <c r="K49" s="1"/>
      <c r="L49" s="1"/>
      <c r="M49" s="1">
        <f t="shared" si="0"/>
        <v>0</v>
      </c>
      <c r="N49" t="s">
        <v>22</v>
      </c>
      <c r="O49" t="s">
        <v>27</v>
      </c>
      <c r="P49">
        <v>2068</v>
      </c>
      <c r="Q49">
        <v>3068</v>
      </c>
      <c r="R49" t="s">
        <v>75</v>
      </c>
      <c r="S49" t="s">
        <v>29</v>
      </c>
      <c r="T49">
        <v>40</v>
      </c>
      <c r="U49">
        <f t="shared" si="1"/>
        <v>2</v>
      </c>
      <c r="V49">
        <f t="shared" si="2"/>
        <v>2022</v>
      </c>
      <c r="W49">
        <f t="shared" si="3"/>
        <v>3700</v>
      </c>
      <c r="X49">
        <f t="shared" si="4"/>
        <v>185</v>
      </c>
    </row>
    <row r="50" spans="1:24" x14ac:dyDescent="0.25">
      <c r="A50">
        <v>1049</v>
      </c>
      <c r="B50" t="s">
        <v>20</v>
      </c>
      <c r="C50" t="s">
        <v>21</v>
      </c>
      <c r="D50" t="s">
        <v>125</v>
      </c>
      <c r="E50" s="2">
        <v>44600</v>
      </c>
      <c r="H50" s="1">
        <v>1700.0000000000002</v>
      </c>
      <c r="I50" s="1">
        <v>2500</v>
      </c>
      <c r="J50">
        <v>1</v>
      </c>
      <c r="K50" s="1"/>
      <c r="L50" s="1"/>
      <c r="M50" s="1">
        <f t="shared" si="0"/>
        <v>0</v>
      </c>
      <c r="N50" t="s">
        <v>22</v>
      </c>
      <c r="O50" t="s">
        <v>27</v>
      </c>
      <c r="P50">
        <v>2008</v>
      </c>
      <c r="Q50">
        <v>3008</v>
      </c>
      <c r="R50" t="s">
        <v>43</v>
      </c>
      <c r="S50" t="s">
        <v>29</v>
      </c>
      <c r="T50">
        <v>27</v>
      </c>
      <c r="U50">
        <f t="shared" si="1"/>
        <v>2</v>
      </c>
      <c r="V50">
        <f t="shared" si="2"/>
        <v>2022</v>
      </c>
      <c r="W50">
        <f t="shared" si="3"/>
        <v>2500</v>
      </c>
      <c r="X50">
        <f t="shared" si="4"/>
        <v>125</v>
      </c>
    </row>
    <row r="51" spans="1:24" x14ac:dyDescent="0.25">
      <c r="A51">
        <v>1050</v>
      </c>
      <c r="B51" t="s">
        <v>20</v>
      </c>
      <c r="C51" t="s">
        <v>21</v>
      </c>
      <c r="D51" t="s">
        <v>125</v>
      </c>
      <c r="E51" s="2">
        <v>44600</v>
      </c>
      <c r="H51" s="1">
        <v>1700.0000000000002</v>
      </c>
      <c r="I51" s="1">
        <v>2500</v>
      </c>
      <c r="J51">
        <v>1</v>
      </c>
      <c r="K51" s="1"/>
      <c r="L51" s="1"/>
      <c r="M51" s="1">
        <f t="shared" si="0"/>
        <v>0</v>
      </c>
      <c r="N51" t="s">
        <v>22</v>
      </c>
      <c r="O51" t="s">
        <v>27</v>
      </c>
      <c r="P51">
        <v>2008</v>
      </c>
      <c r="Q51">
        <v>3008</v>
      </c>
      <c r="R51" t="s">
        <v>43</v>
      </c>
      <c r="S51" t="s">
        <v>29</v>
      </c>
      <c r="T51">
        <v>27</v>
      </c>
      <c r="U51">
        <f t="shared" si="1"/>
        <v>2</v>
      </c>
      <c r="V51">
        <f t="shared" si="2"/>
        <v>2022</v>
      </c>
      <c r="W51">
        <f t="shared" si="3"/>
        <v>2500</v>
      </c>
      <c r="X51">
        <f t="shared" si="4"/>
        <v>125</v>
      </c>
    </row>
    <row r="52" spans="1:24" x14ac:dyDescent="0.25">
      <c r="A52">
        <v>1051</v>
      </c>
      <c r="B52" t="s">
        <v>30</v>
      </c>
      <c r="C52" t="s">
        <v>31</v>
      </c>
      <c r="D52" t="s">
        <v>128</v>
      </c>
      <c r="E52" s="2">
        <v>44603</v>
      </c>
      <c r="H52" s="1">
        <v>780</v>
      </c>
      <c r="I52" s="1">
        <v>1300</v>
      </c>
      <c r="J52">
        <v>2</v>
      </c>
      <c r="K52" s="1"/>
      <c r="L52" s="1"/>
      <c r="M52" s="1">
        <f t="shared" si="0"/>
        <v>0</v>
      </c>
      <c r="N52" t="s">
        <v>22</v>
      </c>
      <c r="O52" t="s">
        <v>23</v>
      </c>
      <c r="P52">
        <v>2041</v>
      </c>
      <c r="Q52">
        <v>3041</v>
      </c>
      <c r="R52" t="s">
        <v>63</v>
      </c>
      <c r="S52" t="s">
        <v>25</v>
      </c>
      <c r="T52">
        <v>32</v>
      </c>
      <c r="U52">
        <f t="shared" si="1"/>
        <v>2</v>
      </c>
      <c r="V52">
        <f t="shared" si="2"/>
        <v>2022</v>
      </c>
      <c r="W52">
        <f t="shared" si="3"/>
        <v>2600</v>
      </c>
      <c r="X52">
        <f t="shared" si="4"/>
        <v>130</v>
      </c>
    </row>
    <row r="53" spans="1:24" x14ac:dyDescent="0.25">
      <c r="A53">
        <v>1052</v>
      </c>
      <c r="B53" t="s">
        <v>30</v>
      </c>
      <c r="C53" t="s">
        <v>31</v>
      </c>
      <c r="D53" t="s">
        <v>129</v>
      </c>
      <c r="E53" s="2">
        <v>44604</v>
      </c>
      <c r="H53" s="1">
        <v>960</v>
      </c>
      <c r="I53" s="1">
        <v>1600</v>
      </c>
      <c r="J53">
        <v>1</v>
      </c>
      <c r="K53" s="1"/>
      <c r="L53" s="1"/>
      <c r="M53" s="1">
        <f t="shared" si="0"/>
        <v>0</v>
      </c>
      <c r="N53" t="s">
        <v>26</v>
      </c>
      <c r="O53" t="s">
        <v>27</v>
      </c>
      <c r="P53">
        <v>2042</v>
      </c>
      <c r="Q53">
        <v>3042</v>
      </c>
      <c r="R53" t="s">
        <v>64</v>
      </c>
      <c r="S53" t="s">
        <v>29</v>
      </c>
      <c r="T53">
        <v>29</v>
      </c>
      <c r="U53">
        <f t="shared" si="1"/>
        <v>2</v>
      </c>
      <c r="V53">
        <f t="shared" si="2"/>
        <v>2022</v>
      </c>
      <c r="W53">
        <f t="shared" si="3"/>
        <v>1600</v>
      </c>
      <c r="X53">
        <f t="shared" si="4"/>
        <v>0</v>
      </c>
    </row>
    <row r="54" spans="1:24" x14ac:dyDescent="0.25">
      <c r="A54">
        <v>1053</v>
      </c>
      <c r="B54" t="s">
        <v>35</v>
      </c>
      <c r="C54" t="s">
        <v>36</v>
      </c>
      <c r="D54" t="s">
        <v>130</v>
      </c>
      <c r="E54" s="2">
        <v>44605</v>
      </c>
      <c r="H54" s="1">
        <v>1292</v>
      </c>
      <c r="I54" s="1">
        <v>1900</v>
      </c>
      <c r="J54">
        <v>3</v>
      </c>
      <c r="K54" s="1"/>
      <c r="L54" s="1"/>
      <c r="M54" s="1">
        <f t="shared" si="0"/>
        <v>0</v>
      </c>
      <c r="N54" t="s">
        <v>22</v>
      </c>
      <c r="O54" t="s">
        <v>32</v>
      </c>
      <c r="P54">
        <v>2043</v>
      </c>
      <c r="Q54">
        <v>3043</v>
      </c>
      <c r="R54" t="s">
        <v>66</v>
      </c>
      <c r="S54" t="s">
        <v>25</v>
      </c>
      <c r="T54">
        <v>21</v>
      </c>
      <c r="U54">
        <f t="shared" si="1"/>
        <v>2</v>
      </c>
      <c r="V54">
        <f t="shared" si="2"/>
        <v>2022</v>
      </c>
      <c r="W54">
        <f t="shared" si="3"/>
        <v>5700</v>
      </c>
      <c r="X54">
        <f t="shared" si="4"/>
        <v>285</v>
      </c>
    </row>
    <row r="55" spans="1:24" x14ac:dyDescent="0.25">
      <c r="A55">
        <v>1054</v>
      </c>
      <c r="B55" t="s">
        <v>35</v>
      </c>
      <c r="C55" t="s">
        <v>36</v>
      </c>
      <c r="D55" t="s">
        <v>131</v>
      </c>
      <c r="E55" s="2">
        <v>44606</v>
      </c>
      <c r="H55" s="1">
        <v>1496</v>
      </c>
      <c r="I55" s="1">
        <v>2200</v>
      </c>
      <c r="J55">
        <v>1</v>
      </c>
      <c r="K55" s="1"/>
      <c r="L55" s="1"/>
      <c r="M55" s="1">
        <f t="shared" si="0"/>
        <v>0</v>
      </c>
      <c r="N55" t="s">
        <v>22</v>
      </c>
      <c r="O55" t="s">
        <v>23</v>
      </c>
      <c r="P55">
        <v>2044</v>
      </c>
      <c r="Q55">
        <v>3044</v>
      </c>
      <c r="R55" t="s">
        <v>67</v>
      </c>
      <c r="S55" t="s">
        <v>29</v>
      </c>
      <c r="T55">
        <v>19</v>
      </c>
      <c r="U55">
        <f t="shared" si="1"/>
        <v>2</v>
      </c>
      <c r="V55">
        <f t="shared" si="2"/>
        <v>2022</v>
      </c>
      <c r="W55">
        <f t="shared" si="3"/>
        <v>2200</v>
      </c>
      <c r="X55">
        <f t="shared" si="4"/>
        <v>110</v>
      </c>
    </row>
    <row r="56" spans="1:24" x14ac:dyDescent="0.25">
      <c r="A56">
        <v>1055</v>
      </c>
      <c r="B56" t="s">
        <v>35</v>
      </c>
      <c r="C56" t="s">
        <v>68</v>
      </c>
      <c r="D56" t="s">
        <v>132</v>
      </c>
      <c r="E56" s="2">
        <v>44607</v>
      </c>
      <c r="H56" s="1">
        <v>1340</v>
      </c>
      <c r="I56" s="1">
        <v>2000</v>
      </c>
      <c r="J56">
        <v>2</v>
      </c>
      <c r="K56" s="1"/>
      <c r="L56" s="1"/>
      <c r="M56" s="1">
        <f t="shared" si="0"/>
        <v>0</v>
      </c>
      <c r="N56" t="s">
        <v>26</v>
      </c>
      <c r="O56" t="s">
        <v>27</v>
      </c>
      <c r="P56">
        <v>2045</v>
      </c>
      <c r="Q56">
        <v>3045</v>
      </c>
      <c r="R56" t="s">
        <v>69</v>
      </c>
      <c r="S56" t="s">
        <v>25</v>
      </c>
      <c r="T56">
        <v>36</v>
      </c>
      <c r="U56">
        <f t="shared" si="1"/>
        <v>2</v>
      </c>
      <c r="V56">
        <f t="shared" si="2"/>
        <v>2022</v>
      </c>
      <c r="W56">
        <f t="shared" si="3"/>
        <v>4000</v>
      </c>
      <c r="X56">
        <f t="shared" si="4"/>
        <v>200</v>
      </c>
    </row>
    <row r="57" spans="1:24" x14ac:dyDescent="0.25">
      <c r="A57">
        <v>1056</v>
      </c>
      <c r="B57" t="s">
        <v>35</v>
      </c>
      <c r="C57" t="s">
        <v>68</v>
      </c>
      <c r="D57" t="s">
        <v>133</v>
      </c>
      <c r="E57" s="2">
        <v>44608</v>
      </c>
      <c r="H57" s="1">
        <v>1541</v>
      </c>
      <c r="I57" s="1">
        <v>2300</v>
      </c>
      <c r="J57">
        <v>1</v>
      </c>
      <c r="K57" s="1"/>
      <c r="L57" s="1"/>
      <c r="M57" s="1">
        <f t="shared" si="0"/>
        <v>0</v>
      </c>
      <c r="N57" t="s">
        <v>22</v>
      </c>
      <c r="O57" t="s">
        <v>23</v>
      </c>
      <c r="P57">
        <v>2046</v>
      </c>
      <c r="Q57">
        <v>3046</v>
      </c>
      <c r="R57" t="s">
        <v>70</v>
      </c>
      <c r="S57" t="s">
        <v>29</v>
      </c>
      <c r="T57">
        <v>34</v>
      </c>
      <c r="U57">
        <f t="shared" si="1"/>
        <v>2</v>
      </c>
      <c r="V57">
        <f t="shared" si="2"/>
        <v>2022</v>
      </c>
      <c r="W57">
        <f t="shared" si="3"/>
        <v>2300</v>
      </c>
      <c r="X57">
        <f t="shared" si="4"/>
        <v>115</v>
      </c>
    </row>
    <row r="58" spans="1:24" x14ac:dyDescent="0.25">
      <c r="A58">
        <v>1057</v>
      </c>
      <c r="B58" t="s">
        <v>20</v>
      </c>
      <c r="C58" t="s">
        <v>71</v>
      </c>
      <c r="D58" t="s">
        <v>72</v>
      </c>
      <c r="E58" s="2">
        <v>44609</v>
      </c>
      <c r="H58" s="1">
        <v>2250</v>
      </c>
      <c r="I58" s="1">
        <v>3000</v>
      </c>
      <c r="J58">
        <v>2</v>
      </c>
      <c r="K58" s="1"/>
      <c r="L58" s="1"/>
      <c r="M58" s="1">
        <f t="shared" si="0"/>
        <v>0</v>
      </c>
      <c r="N58" t="s">
        <v>26</v>
      </c>
      <c r="O58" t="s">
        <v>23</v>
      </c>
      <c r="P58">
        <v>2047</v>
      </c>
      <c r="Q58">
        <v>3047</v>
      </c>
      <c r="R58" t="s">
        <v>73</v>
      </c>
      <c r="S58" t="s">
        <v>25</v>
      </c>
      <c r="T58">
        <v>40</v>
      </c>
      <c r="U58">
        <f t="shared" si="1"/>
        <v>2</v>
      </c>
      <c r="V58">
        <f t="shared" si="2"/>
        <v>2022</v>
      </c>
      <c r="W58">
        <f t="shared" si="3"/>
        <v>6000</v>
      </c>
      <c r="X58">
        <f t="shared" si="4"/>
        <v>300</v>
      </c>
    </row>
    <row r="59" spans="1:24" x14ac:dyDescent="0.25">
      <c r="A59">
        <v>1058</v>
      </c>
      <c r="B59" t="s">
        <v>20</v>
      </c>
      <c r="C59" t="s">
        <v>71</v>
      </c>
      <c r="D59" t="s">
        <v>74</v>
      </c>
      <c r="E59" s="2">
        <v>44610</v>
      </c>
      <c r="H59" s="1">
        <v>2625</v>
      </c>
      <c r="I59" s="1">
        <v>3500</v>
      </c>
      <c r="J59">
        <v>1</v>
      </c>
      <c r="K59" s="1"/>
      <c r="L59" s="1"/>
      <c r="M59" s="1">
        <f t="shared" si="0"/>
        <v>0</v>
      </c>
      <c r="N59" t="s">
        <v>22</v>
      </c>
      <c r="O59" t="s">
        <v>27</v>
      </c>
      <c r="P59">
        <v>2048</v>
      </c>
      <c r="Q59">
        <v>3048</v>
      </c>
      <c r="R59" t="s">
        <v>75</v>
      </c>
      <c r="S59" t="s">
        <v>29</v>
      </c>
      <c r="T59">
        <v>38</v>
      </c>
      <c r="U59">
        <f t="shared" si="1"/>
        <v>2</v>
      </c>
      <c r="V59">
        <f t="shared" si="2"/>
        <v>2022</v>
      </c>
      <c r="W59">
        <f t="shared" si="3"/>
        <v>3500</v>
      </c>
      <c r="X59">
        <f t="shared" si="4"/>
        <v>175</v>
      </c>
    </row>
    <row r="60" spans="1:24" x14ac:dyDescent="0.25">
      <c r="A60">
        <v>1059</v>
      </c>
      <c r="B60" t="s">
        <v>76</v>
      </c>
      <c r="C60" t="s">
        <v>77</v>
      </c>
      <c r="D60" t="s">
        <v>45</v>
      </c>
      <c r="E60" s="2">
        <v>44613</v>
      </c>
      <c r="H60" s="1">
        <v>737</v>
      </c>
      <c r="I60" s="1">
        <v>1100</v>
      </c>
      <c r="J60">
        <v>2</v>
      </c>
      <c r="K60" s="1"/>
      <c r="L60" s="1"/>
      <c r="M60" s="1">
        <f t="shared" si="0"/>
        <v>0</v>
      </c>
      <c r="N60" t="s">
        <v>22</v>
      </c>
      <c r="O60" t="s">
        <v>23</v>
      </c>
      <c r="P60">
        <v>2021</v>
      </c>
      <c r="Q60">
        <v>3021</v>
      </c>
      <c r="R60" t="s">
        <v>46</v>
      </c>
      <c r="S60" t="s">
        <v>25</v>
      </c>
      <c r="T60">
        <v>24</v>
      </c>
      <c r="U60">
        <f t="shared" si="1"/>
        <v>2</v>
      </c>
      <c r="V60">
        <f t="shared" si="2"/>
        <v>2022</v>
      </c>
      <c r="W60">
        <f t="shared" si="3"/>
        <v>2200</v>
      </c>
      <c r="X60">
        <f t="shared" si="4"/>
        <v>110</v>
      </c>
    </row>
    <row r="61" spans="1:24" x14ac:dyDescent="0.25">
      <c r="A61">
        <v>1060</v>
      </c>
      <c r="B61" t="s">
        <v>76</v>
      </c>
      <c r="C61" t="s">
        <v>77</v>
      </c>
      <c r="D61" t="s">
        <v>47</v>
      </c>
      <c r="E61" s="2">
        <v>44614</v>
      </c>
      <c r="H61" s="1">
        <v>938</v>
      </c>
      <c r="I61" s="1">
        <v>1400</v>
      </c>
      <c r="J61">
        <v>1</v>
      </c>
      <c r="K61" s="1"/>
      <c r="L61" s="1"/>
      <c r="M61" s="1">
        <f t="shared" si="0"/>
        <v>0</v>
      </c>
      <c r="N61" t="s">
        <v>26</v>
      </c>
      <c r="O61" t="s">
        <v>27</v>
      </c>
      <c r="P61">
        <v>2022</v>
      </c>
      <c r="Q61">
        <v>3022</v>
      </c>
      <c r="R61" t="s">
        <v>48</v>
      </c>
      <c r="S61" t="s">
        <v>29</v>
      </c>
      <c r="T61">
        <v>21</v>
      </c>
      <c r="U61">
        <f t="shared" si="1"/>
        <v>2</v>
      </c>
      <c r="V61">
        <f t="shared" si="2"/>
        <v>2022</v>
      </c>
      <c r="W61">
        <f t="shared" si="3"/>
        <v>1400</v>
      </c>
      <c r="X61">
        <f t="shared" si="4"/>
        <v>0</v>
      </c>
    </row>
    <row r="62" spans="1:24" x14ac:dyDescent="0.25">
      <c r="A62">
        <v>1061</v>
      </c>
      <c r="B62" t="s">
        <v>30</v>
      </c>
      <c r="C62" t="s">
        <v>65</v>
      </c>
      <c r="D62" t="s">
        <v>50</v>
      </c>
      <c r="E62" s="2">
        <v>44615</v>
      </c>
      <c r="H62" s="1">
        <v>1190</v>
      </c>
      <c r="I62" s="1">
        <v>1700</v>
      </c>
      <c r="J62">
        <v>3</v>
      </c>
      <c r="K62" s="1"/>
      <c r="L62" s="1"/>
      <c r="M62" s="1">
        <f t="shared" si="0"/>
        <v>0</v>
      </c>
      <c r="N62" t="s">
        <v>22</v>
      </c>
      <c r="O62" t="s">
        <v>32</v>
      </c>
      <c r="P62">
        <v>2023</v>
      </c>
      <c r="Q62">
        <v>3023</v>
      </c>
      <c r="R62" t="s">
        <v>51</v>
      </c>
      <c r="S62" t="s">
        <v>25</v>
      </c>
      <c r="T62">
        <v>20</v>
      </c>
      <c r="U62">
        <f t="shared" si="1"/>
        <v>2</v>
      </c>
      <c r="V62">
        <f t="shared" si="2"/>
        <v>2022</v>
      </c>
      <c r="W62">
        <f t="shared" si="3"/>
        <v>5100</v>
      </c>
      <c r="X62">
        <f t="shared" si="4"/>
        <v>255</v>
      </c>
    </row>
    <row r="63" spans="1:24" x14ac:dyDescent="0.25">
      <c r="A63">
        <v>1062</v>
      </c>
      <c r="B63" t="s">
        <v>30</v>
      </c>
      <c r="C63" t="s">
        <v>65</v>
      </c>
      <c r="D63" t="s">
        <v>52</v>
      </c>
      <c r="E63" s="2">
        <v>44616</v>
      </c>
      <c r="H63" s="1">
        <v>1400</v>
      </c>
      <c r="I63" s="1">
        <v>2000</v>
      </c>
      <c r="J63">
        <v>1</v>
      </c>
      <c r="K63" s="1"/>
      <c r="L63" s="1"/>
      <c r="M63" s="1">
        <f t="shared" si="0"/>
        <v>0</v>
      </c>
      <c r="N63" t="s">
        <v>22</v>
      </c>
      <c r="O63" t="s">
        <v>23</v>
      </c>
      <c r="P63">
        <v>2024</v>
      </c>
      <c r="Q63">
        <v>3024</v>
      </c>
      <c r="R63" t="s">
        <v>53</v>
      </c>
      <c r="S63" t="s">
        <v>29</v>
      </c>
      <c r="T63">
        <v>18</v>
      </c>
      <c r="U63">
        <f t="shared" si="1"/>
        <v>2</v>
      </c>
      <c r="V63">
        <f t="shared" si="2"/>
        <v>2022</v>
      </c>
      <c r="W63">
        <f t="shared" si="3"/>
        <v>2000</v>
      </c>
      <c r="X63">
        <f t="shared" si="4"/>
        <v>0</v>
      </c>
    </row>
    <row r="64" spans="1:24" x14ac:dyDescent="0.25">
      <c r="A64">
        <v>1063</v>
      </c>
      <c r="B64" t="s">
        <v>35</v>
      </c>
      <c r="C64" t="s">
        <v>68</v>
      </c>
      <c r="D64" t="s">
        <v>55</v>
      </c>
      <c r="E64" s="2">
        <v>44617</v>
      </c>
      <c r="H64" s="1">
        <v>975</v>
      </c>
      <c r="I64" s="1">
        <v>1500</v>
      </c>
      <c r="J64">
        <v>2</v>
      </c>
      <c r="K64" s="1"/>
      <c r="L64" s="1"/>
      <c r="M64" s="1">
        <f t="shared" si="0"/>
        <v>0</v>
      </c>
      <c r="N64" t="s">
        <v>26</v>
      </c>
      <c r="O64" t="s">
        <v>27</v>
      </c>
      <c r="P64">
        <v>2025</v>
      </c>
      <c r="Q64">
        <v>3025</v>
      </c>
      <c r="R64" t="s">
        <v>56</v>
      </c>
      <c r="S64" t="s">
        <v>25</v>
      </c>
      <c r="T64">
        <v>28</v>
      </c>
      <c r="U64">
        <f t="shared" si="1"/>
        <v>2</v>
      </c>
      <c r="V64">
        <f t="shared" si="2"/>
        <v>2022</v>
      </c>
      <c r="W64">
        <f t="shared" si="3"/>
        <v>3000</v>
      </c>
      <c r="X64">
        <f t="shared" si="4"/>
        <v>150</v>
      </c>
    </row>
    <row r="65" spans="1:24" x14ac:dyDescent="0.25">
      <c r="A65">
        <v>1064</v>
      </c>
      <c r="B65" t="s">
        <v>35</v>
      </c>
      <c r="C65" t="s">
        <v>68</v>
      </c>
      <c r="D65" t="s">
        <v>57</v>
      </c>
      <c r="E65" s="2">
        <v>44618</v>
      </c>
      <c r="H65" s="1">
        <v>1170</v>
      </c>
      <c r="I65" s="1">
        <v>1800</v>
      </c>
      <c r="J65">
        <v>1</v>
      </c>
      <c r="K65" s="1"/>
      <c r="L65" s="1"/>
      <c r="M65" s="1">
        <f t="shared" si="0"/>
        <v>0</v>
      </c>
      <c r="N65" t="s">
        <v>22</v>
      </c>
      <c r="O65" t="s">
        <v>23</v>
      </c>
      <c r="P65">
        <v>2026</v>
      </c>
      <c r="Q65">
        <v>3026</v>
      </c>
      <c r="R65" t="s">
        <v>58</v>
      </c>
      <c r="S65" t="s">
        <v>29</v>
      </c>
      <c r="T65">
        <v>26</v>
      </c>
      <c r="U65">
        <f t="shared" si="1"/>
        <v>2</v>
      </c>
      <c r="V65">
        <f t="shared" si="2"/>
        <v>2022</v>
      </c>
      <c r="W65">
        <f t="shared" si="3"/>
        <v>1800</v>
      </c>
      <c r="X65">
        <f t="shared" si="4"/>
        <v>0</v>
      </c>
    </row>
    <row r="66" spans="1:24" x14ac:dyDescent="0.25">
      <c r="A66">
        <v>1065</v>
      </c>
      <c r="B66" t="s">
        <v>20</v>
      </c>
      <c r="C66" t="s">
        <v>21</v>
      </c>
      <c r="D66" t="s">
        <v>126</v>
      </c>
      <c r="E66" s="2">
        <v>44619</v>
      </c>
      <c r="H66" s="1">
        <v>1656</v>
      </c>
      <c r="I66" s="1">
        <v>2300</v>
      </c>
      <c r="J66">
        <v>2</v>
      </c>
      <c r="K66" s="1"/>
      <c r="L66" s="1"/>
      <c r="M66" s="1">
        <f t="shared" ref="M66:M129" si="5">K66+L66</f>
        <v>0</v>
      </c>
      <c r="N66" t="s">
        <v>26</v>
      </c>
      <c r="O66" t="s">
        <v>23</v>
      </c>
      <c r="P66">
        <v>2027</v>
      </c>
      <c r="Q66">
        <v>3027</v>
      </c>
      <c r="R66" t="s">
        <v>60</v>
      </c>
      <c r="S66" t="s">
        <v>25</v>
      </c>
      <c r="T66">
        <v>30</v>
      </c>
      <c r="U66">
        <f t="shared" si="1"/>
        <v>2</v>
      </c>
      <c r="V66">
        <f t="shared" si="2"/>
        <v>2022</v>
      </c>
      <c r="W66">
        <f t="shared" si="3"/>
        <v>4600</v>
      </c>
      <c r="X66">
        <f t="shared" si="4"/>
        <v>230</v>
      </c>
    </row>
    <row r="67" spans="1:24" x14ac:dyDescent="0.25">
      <c r="A67">
        <v>1066</v>
      </c>
      <c r="B67" t="s">
        <v>20</v>
      </c>
      <c r="C67" t="s">
        <v>21</v>
      </c>
      <c r="D67" t="s">
        <v>127</v>
      </c>
      <c r="E67" s="2">
        <v>44620</v>
      </c>
      <c r="H67" s="1">
        <v>1872</v>
      </c>
      <c r="I67" s="1">
        <v>2600</v>
      </c>
      <c r="J67">
        <v>1</v>
      </c>
      <c r="K67" s="1"/>
      <c r="L67" s="1"/>
      <c r="M67" s="1">
        <f t="shared" si="5"/>
        <v>0</v>
      </c>
      <c r="N67" t="s">
        <v>22</v>
      </c>
      <c r="O67" t="s">
        <v>27</v>
      </c>
      <c r="P67">
        <v>2028</v>
      </c>
      <c r="Q67">
        <v>3028</v>
      </c>
      <c r="R67" t="s">
        <v>61</v>
      </c>
      <c r="S67" t="s">
        <v>29</v>
      </c>
      <c r="T67">
        <v>28</v>
      </c>
      <c r="U67">
        <f t="shared" ref="U67:U130" si="6">MONTH(E67)</f>
        <v>2</v>
      </c>
      <c r="V67">
        <f t="shared" ref="V67:V130" si="7">YEAR(E67)</f>
        <v>2022</v>
      </c>
      <c r="W67">
        <f t="shared" ref="W67:W130" si="8">I67 * J67</f>
        <v>2600</v>
      </c>
      <c r="X67">
        <f t="shared" ref="X67:X130" si="9">IF(W67&gt;2000,W67*0.05,0)</f>
        <v>130</v>
      </c>
    </row>
    <row r="68" spans="1:24" x14ac:dyDescent="0.25">
      <c r="A68">
        <v>1067</v>
      </c>
      <c r="B68" t="s">
        <v>30</v>
      </c>
      <c r="C68" t="s">
        <v>31</v>
      </c>
      <c r="D68" t="s">
        <v>120</v>
      </c>
      <c r="E68" s="2">
        <v>44621</v>
      </c>
      <c r="H68" s="1">
        <v>840</v>
      </c>
      <c r="I68" s="1">
        <v>1200</v>
      </c>
      <c r="J68">
        <v>2</v>
      </c>
      <c r="K68" s="1"/>
      <c r="L68" s="1"/>
      <c r="M68" s="1">
        <f t="shared" si="5"/>
        <v>0</v>
      </c>
      <c r="N68" t="s">
        <v>22</v>
      </c>
      <c r="O68" t="s">
        <v>23</v>
      </c>
      <c r="P68">
        <v>2001</v>
      </c>
      <c r="Q68">
        <v>3001</v>
      </c>
      <c r="R68" t="s">
        <v>24</v>
      </c>
      <c r="S68" t="s">
        <v>25</v>
      </c>
      <c r="T68">
        <v>25</v>
      </c>
      <c r="U68">
        <f t="shared" si="6"/>
        <v>3</v>
      </c>
      <c r="V68">
        <f t="shared" si="7"/>
        <v>2022</v>
      </c>
      <c r="W68">
        <f t="shared" si="8"/>
        <v>2400</v>
      </c>
      <c r="X68">
        <f t="shared" si="9"/>
        <v>120</v>
      </c>
    </row>
    <row r="69" spans="1:24" x14ac:dyDescent="0.25">
      <c r="A69">
        <v>1068</v>
      </c>
      <c r="B69" t="s">
        <v>30</v>
      </c>
      <c r="C69" t="s">
        <v>31</v>
      </c>
      <c r="D69" t="s">
        <v>134</v>
      </c>
      <c r="E69" s="2">
        <v>44621</v>
      </c>
      <c r="H69" s="1">
        <v>1460</v>
      </c>
      <c r="I69" s="1">
        <v>2000</v>
      </c>
      <c r="J69">
        <v>2</v>
      </c>
      <c r="K69" s="1"/>
      <c r="L69" s="1"/>
      <c r="M69" s="1">
        <f t="shared" si="5"/>
        <v>0</v>
      </c>
      <c r="N69" t="s">
        <v>22</v>
      </c>
      <c r="O69" t="s">
        <v>23</v>
      </c>
      <c r="P69">
        <v>2061</v>
      </c>
      <c r="Q69">
        <v>3061</v>
      </c>
      <c r="R69" t="s">
        <v>78</v>
      </c>
      <c r="S69" t="s">
        <v>25</v>
      </c>
      <c r="T69">
        <v>35</v>
      </c>
      <c r="U69">
        <f t="shared" si="6"/>
        <v>3</v>
      </c>
      <c r="V69">
        <f t="shared" si="7"/>
        <v>2022</v>
      </c>
      <c r="W69">
        <f t="shared" si="8"/>
        <v>4000</v>
      </c>
      <c r="X69">
        <f t="shared" si="9"/>
        <v>200</v>
      </c>
    </row>
    <row r="70" spans="1:24" x14ac:dyDescent="0.25">
      <c r="A70">
        <v>1069</v>
      </c>
      <c r="B70" t="s">
        <v>35</v>
      </c>
      <c r="C70" t="s">
        <v>36</v>
      </c>
      <c r="D70" t="s">
        <v>121</v>
      </c>
      <c r="E70" s="2">
        <v>44622</v>
      </c>
      <c r="H70" s="1">
        <v>1050</v>
      </c>
      <c r="I70" s="1">
        <v>1500</v>
      </c>
      <c r="J70">
        <v>1</v>
      </c>
      <c r="K70" s="1"/>
      <c r="L70" s="1"/>
      <c r="M70" s="1">
        <f t="shared" si="5"/>
        <v>0</v>
      </c>
      <c r="N70" t="s">
        <v>26</v>
      </c>
      <c r="O70" t="s">
        <v>27</v>
      </c>
      <c r="P70">
        <v>2002</v>
      </c>
      <c r="Q70">
        <v>3002</v>
      </c>
      <c r="R70" t="s">
        <v>28</v>
      </c>
      <c r="S70" t="s">
        <v>29</v>
      </c>
      <c r="T70">
        <v>22</v>
      </c>
      <c r="U70">
        <f t="shared" si="6"/>
        <v>3</v>
      </c>
      <c r="V70">
        <f t="shared" si="7"/>
        <v>2022</v>
      </c>
      <c r="W70">
        <f t="shared" si="8"/>
        <v>1500</v>
      </c>
      <c r="X70">
        <f t="shared" si="9"/>
        <v>0</v>
      </c>
    </row>
    <row r="71" spans="1:24" x14ac:dyDescent="0.25">
      <c r="A71">
        <v>1070</v>
      </c>
      <c r="B71" t="s">
        <v>35</v>
      </c>
      <c r="C71" t="s">
        <v>36</v>
      </c>
      <c r="D71" t="s">
        <v>135</v>
      </c>
      <c r="E71" s="2">
        <v>44622</v>
      </c>
      <c r="H71" s="1">
        <v>1825</v>
      </c>
      <c r="I71" s="1">
        <v>2500</v>
      </c>
      <c r="J71">
        <v>1</v>
      </c>
      <c r="K71" s="1"/>
      <c r="L71" s="1"/>
      <c r="M71" s="1">
        <f t="shared" si="5"/>
        <v>0</v>
      </c>
      <c r="N71" t="s">
        <v>26</v>
      </c>
      <c r="O71" t="s">
        <v>27</v>
      </c>
      <c r="P71">
        <v>2062</v>
      </c>
      <c r="Q71">
        <v>3062</v>
      </c>
      <c r="R71" t="s">
        <v>79</v>
      </c>
      <c r="S71" t="s">
        <v>29</v>
      </c>
      <c r="T71">
        <v>33</v>
      </c>
      <c r="U71">
        <f t="shared" si="6"/>
        <v>3</v>
      </c>
      <c r="V71">
        <f t="shared" si="7"/>
        <v>2022</v>
      </c>
      <c r="W71">
        <f t="shared" si="8"/>
        <v>2500</v>
      </c>
      <c r="X71">
        <f t="shared" si="9"/>
        <v>125</v>
      </c>
    </row>
    <row r="72" spans="1:24" x14ac:dyDescent="0.25">
      <c r="A72">
        <v>1071</v>
      </c>
      <c r="B72" t="s">
        <v>20</v>
      </c>
      <c r="C72" t="s">
        <v>41</v>
      </c>
      <c r="D72" t="s">
        <v>122</v>
      </c>
      <c r="E72" s="2">
        <v>44623</v>
      </c>
      <c r="H72" s="1">
        <v>1260</v>
      </c>
      <c r="I72" s="1">
        <v>1800</v>
      </c>
      <c r="J72">
        <v>3</v>
      </c>
      <c r="K72" s="1"/>
      <c r="L72" s="1"/>
      <c r="M72" s="1">
        <f t="shared" si="5"/>
        <v>0</v>
      </c>
      <c r="N72" t="s">
        <v>22</v>
      </c>
      <c r="O72" t="s">
        <v>32</v>
      </c>
      <c r="P72">
        <v>2003</v>
      </c>
      <c r="Q72">
        <v>3003</v>
      </c>
      <c r="R72" t="s">
        <v>33</v>
      </c>
      <c r="S72" t="s">
        <v>25</v>
      </c>
      <c r="T72">
        <v>18</v>
      </c>
      <c r="U72">
        <f t="shared" si="6"/>
        <v>3</v>
      </c>
      <c r="V72">
        <f t="shared" si="7"/>
        <v>2022</v>
      </c>
      <c r="W72">
        <f t="shared" si="8"/>
        <v>5400</v>
      </c>
      <c r="X72">
        <f t="shared" si="9"/>
        <v>270</v>
      </c>
    </row>
    <row r="73" spans="1:24" x14ac:dyDescent="0.25">
      <c r="A73">
        <v>1072</v>
      </c>
      <c r="B73" t="s">
        <v>20</v>
      </c>
      <c r="C73" t="s">
        <v>41</v>
      </c>
      <c r="D73" t="s">
        <v>136</v>
      </c>
      <c r="E73" s="2">
        <v>44623</v>
      </c>
      <c r="H73" s="1">
        <v>1105</v>
      </c>
      <c r="I73" s="1">
        <v>1700</v>
      </c>
      <c r="J73">
        <v>3</v>
      </c>
      <c r="K73" s="1"/>
      <c r="L73" s="1"/>
      <c r="M73" s="1">
        <f t="shared" si="5"/>
        <v>0</v>
      </c>
      <c r="N73" t="s">
        <v>22</v>
      </c>
      <c r="O73" t="s">
        <v>32</v>
      </c>
      <c r="P73">
        <v>2063</v>
      </c>
      <c r="Q73">
        <v>3063</v>
      </c>
      <c r="R73" t="s">
        <v>81</v>
      </c>
      <c r="S73" t="s">
        <v>25</v>
      </c>
      <c r="T73">
        <v>22</v>
      </c>
      <c r="U73">
        <f t="shared" si="6"/>
        <v>3</v>
      </c>
      <c r="V73">
        <f t="shared" si="7"/>
        <v>2022</v>
      </c>
      <c r="W73">
        <f t="shared" si="8"/>
        <v>5100</v>
      </c>
      <c r="X73">
        <f t="shared" si="9"/>
        <v>255</v>
      </c>
    </row>
    <row r="74" spans="1:24" x14ac:dyDescent="0.25">
      <c r="A74">
        <v>1073</v>
      </c>
      <c r="B74" t="s">
        <v>20</v>
      </c>
      <c r="C74" t="s">
        <v>44</v>
      </c>
      <c r="D74" t="s">
        <v>123</v>
      </c>
      <c r="E74" s="2">
        <v>44624</v>
      </c>
      <c r="H74" s="1">
        <v>1470</v>
      </c>
      <c r="I74" s="1">
        <v>2100</v>
      </c>
      <c r="J74">
        <v>1</v>
      </c>
      <c r="K74" s="1"/>
      <c r="L74" s="1"/>
      <c r="M74" s="1">
        <f t="shared" si="5"/>
        <v>0</v>
      </c>
      <c r="N74" t="s">
        <v>22</v>
      </c>
      <c r="O74" t="s">
        <v>23</v>
      </c>
      <c r="P74">
        <v>2004</v>
      </c>
      <c r="Q74">
        <v>3004</v>
      </c>
      <c r="R74" t="s">
        <v>34</v>
      </c>
      <c r="S74" t="s">
        <v>29</v>
      </c>
      <c r="T74">
        <v>16</v>
      </c>
      <c r="U74">
        <f t="shared" si="6"/>
        <v>3</v>
      </c>
      <c r="V74">
        <f t="shared" si="7"/>
        <v>2022</v>
      </c>
      <c r="W74">
        <f t="shared" si="8"/>
        <v>2100</v>
      </c>
      <c r="X74">
        <f t="shared" si="9"/>
        <v>105</v>
      </c>
    </row>
    <row r="75" spans="1:24" x14ac:dyDescent="0.25">
      <c r="A75">
        <v>1074</v>
      </c>
      <c r="B75" t="s">
        <v>20</v>
      </c>
      <c r="C75" t="s">
        <v>44</v>
      </c>
      <c r="D75" t="s">
        <v>137</v>
      </c>
      <c r="E75" s="2">
        <v>44624</v>
      </c>
      <c r="H75" s="1">
        <v>1365</v>
      </c>
      <c r="I75" s="1">
        <v>2100</v>
      </c>
      <c r="J75">
        <v>1</v>
      </c>
      <c r="K75" s="1"/>
      <c r="L75" s="1"/>
      <c r="M75" s="1">
        <f t="shared" si="5"/>
        <v>0</v>
      </c>
      <c r="N75" t="s">
        <v>22</v>
      </c>
      <c r="O75" t="s">
        <v>23</v>
      </c>
      <c r="P75">
        <v>2064</v>
      </c>
      <c r="Q75">
        <v>3064</v>
      </c>
      <c r="R75" t="s">
        <v>82</v>
      </c>
      <c r="S75" t="s">
        <v>29</v>
      </c>
      <c r="T75">
        <v>20</v>
      </c>
      <c r="U75">
        <f t="shared" si="6"/>
        <v>3</v>
      </c>
      <c r="V75">
        <f t="shared" si="7"/>
        <v>2022</v>
      </c>
      <c r="W75">
        <f t="shared" si="8"/>
        <v>2100</v>
      </c>
      <c r="X75">
        <f t="shared" si="9"/>
        <v>105</v>
      </c>
    </row>
    <row r="76" spans="1:24" x14ac:dyDescent="0.25">
      <c r="A76">
        <v>1075</v>
      </c>
      <c r="B76" t="s">
        <v>30</v>
      </c>
      <c r="C76" t="s">
        <v>49</v>
      </c>
      <c r="D76" t="s">
        <v>37</v>
      </c>
      <c r="E76" s="2">
        <v>44625</v>
      </c>
      <c r="H76" s="1">
        <v>896.99999999999989</v>
      </c>
      <c r="I76" s="1">
        <v>1300</v>
      </c>
      <c r="J76">
        <v>2</v>
      </c>
      <c r="K76" s="1"/>
      <c r="L76" s="1"/>
      <c r="M76" s="1">
        <f t="shared" si="5"/>
        <v>0</v>
      </c>
      <c r="N76" t="s">
        <v>26</v>
      </c>
      <c r="O76" t="s">
        <v>27</v>
      </c>
      <c r="P76">
        <v>2005</v>
      </c>
      <c r="Q76">
        <v>3005</v>
      </c>
      <c r="R76" t="s">
        <v>38</v>
      </c>
      <c r="S76" t="s">
        <v>25</v>
      </c>
      <c r="T76">
        <v>27</v>
      </c>
      <c r="U76">
        <f t="shared" si="6"/>
        <v>3</v>
      </c>
      <c r="V76">
        <f t="shared" si="7"/>
        <v>2022</v>
      </c>
      <c r="W76">
        <f t="shared" si="8"/>
        <v>2600</v>
      </c>
      <c r="X76">
        <f t="shared" si="9"/>
        <v>130</v>
      </c>
    </row>
    <row r="77" spans="1:24" x14ac:dyDescent="0.25">
      <c r="A77">
        <v>1076</v>
      </c>
      <c r="B77" t="s">
        <v>30</v>
      </c>
      <c r="C77" t="s">
        <v>49</v>
      </c>
      <c r="D77" t="s">
        <v>138</v>
      </c>
      <c r="E77" s="2">
        <v>44625</v>
      </c>
      <c r="H77" s="1">
        <v>1035</v>
      </c>
      <c r="I77" s="1">
        <v>1500</v>
      </c>
      <c r="J77">
        <v>2</v>
      </c>
      <c r="K77" s="1"/>
      <c r="L77" s="1"/>
      <c r="M77" s="1">
        <f t="shared" si="5"/>
        <v>0</v>
      </c>
      <c r="N77" t="s">
        <v>26</v>
      </c>
      <c r="O77" t="s">
        <v>27</v>
      </c>
      <c r="P77">
        <v>2065</v>
      </c>
      <c r="Q77">
        <v>3065</v>
      </c>
      <c r="R77" t="s">
        <v>84</v>
      </c>
      <c r="S77" t="s">
        <v>25</v>
      </c>
      <c r="T77">
        <v>30</v>
      </c>
      <c r="U77">
        <f t="shared" si="6"/>
        <v>3</v>
      </c>
      <c r="V77">
        <f t="shared" si="7"/>
        <v>2022</v>
      </c>
      <c r="W77">
        <f t="shared" si="8"/>
        <v>3000</v>
      </c>
      <c r="X77">
        <f t="shared" si="9"/>
        <v>150</v>
      </c>
    </row>
    <row r="78" spans="1:24" x14ac:dyDescent="0.25">
      <c r="A78">
        <v>1077</v>
      </c>
      <c r="B78" t="s">
        <v>35</v>
      </c>
      <c r="C78" t="s">
        <v>54</v>
      </c>
      <c r="D78" t="s">
        <v>39</v>
      </c>
      <c r="E78" s="2">
        <v>44626</v>
      </c>
      <c r="H78" s="1">
        <v>1104</v>
      </c>
      <c r="I78" s="1">
        <v>1600</v>
      </c>
      <c r="J78">
        <v>1</v>
      </c>
      <c r="K78" s="1"/>
      <c r="L78" s="1"/>
      <c r="M78" s="1">
        <f t="shared" si="5"/>
        <v>0</v>
      </c>
      <c r="N78" t="s">
        <v>22</v>
      </c>
      <c r="O78" t="s">
        <v>23</v>
      </c>
      <c r="P78">
        <v>2006</v>
      </c>
      <c r="Q78">
        <v>3006</v>
      </c>
      <c r="R78" t="s">
        <v>40</v>
      </c>
      <c r="S78" t="s">
        <v>29</v>
      </c>
      <c r="T78">
        <v>24</v>
      </c>
      <c r="U78">
        <f t="shared" si="6"/>
        <v>3</v>
      </c>
      <c r="V78">
        <f t="shared" si="7"/>
        <v>2022</v>
      </c>
      <c r="W78">
        <f t="shared" si="8"/>
        <v>1600</v>
      </c>
      <c r="X78">
        <f t="shared" si="9"/>
        <v>0</v>
      </c>
    </row>
    <row r="79" spans="1:24" x14ac:dyDescent="0.25">
      <c r="A79">
        <v>1078</v>
      </c>
      <c r="B79" t="s">
        <v>35</v>
      </c>
      <c r="C79" t="s">
        <v>54</v>
      </c>
      <c r="D79" t="s">
        <v>139</v>
      </c>
      <c r="E79" s="2">
        <v>44626</v>
      </c>
      <c r="H79" s="1">
        <v>1242</v>
      </c>
      <c r="I79" s="1">
        <v>1800</v>
      </c>
      <c r="J79">
        <v>1</v>
      </c>
      <c r="K79" s="1"/>
      <c r="L79" s="1"/>
      <c r="M79" s="1">
        <f t="shared" si="5"/>
        <v>0</v>
      </c>
      <c r="N79" t="s">
        <v>22</v>
      </c>
      <c r="O79" t="s">
        <v>23</v>
      </c>
      <c r="P79">
        <v>2066</v>
      </c>
      <c r="Q79">
        <v>3066</v>
      </c>
      <c r="R79" t="s">
        <v>85</v>
      </c>
      <c r="S79" t="s">
        <v>29</v>
      </c>
      <c r="T79">
        <v>28</v>
      </c>
      <c r="U79">
        <f t="shared" si="6"/>
        <v>3</v>
      </c>
      <c r="V79">
        <f t="shared" si="7"/>
        <v>2022</v>
      </c>
      <c r="W79">
        <f t="shared" si="8"/>
        <v>1800</v>
      </c>
      <c r="X79">
        <f t="shared" si="9"/>
        <v>0</v>
      </c>
    </row>
    <row r="80" spans="1:24" x14ac:dyDescent="0.25">
      <c r="A80">
        <v>1079</v>
      </c>
      <c r="B80" t="s">
        <v>20</v>
      </c>
      <c r="C80" t="s">
        <v>59</v>
      </c>
      <c r="D80" t="s">
        <v>124</v>
      </c>
      <c r="E80" s="2">
        <v>44627</v>
      </c>
      <c r="H80" s="1">
        <v>1496</v>
      </c>
      <c r="I80" s="1">
        <v>2200</v>
      </c>
      <c r="J80">
        <v>2</v>
      </c>
      <c r="K80" s="1"/>
      <c r="L80" s="1"/>
      <c r="M80" s="1">
        <f t="shared" si="5"/>
        <v>0</v>
      </c>
      <c r="N80" t="s">
        <v>26</v>
      </c>
      <c r="O80" t="s">
        <v>23</v>
      </c>
      <c r="P80">
        <v>2007</v>
      </c>
      <c r="Q80">
        <v>3007</v>
      </c>
      <c r="R80" t="s">
        <v>42</v>
      </c>
      <c r="S80" t="s">
        <v>25</v>
      </c>
      <c r="T80">
        <v>29</v>
      </c>
      <c r="U80">
        <f t="shared" si="6"/>
        <v>3</v>
      </c>
      <c r="V80">
        <f t="shared" si="7"/>
        <v>2022</v>
      </c>
      <c r="W80">
        <f t="shared" si="8"/>
        <v>4400</v>
      </c>
      <c r="X80">
        <f t="shared" si="9"/>
        <v>220</v>
      </c>
    </row>
    <row r="81" spans="1:24" x14ac:dyDescent="0.25">
      <c r="A81">
        <v>1080</v>
      </c>
      <c r="B81" t="s">
        <v>20</v>
      </c>
      <c r="C81" t="s">
        <v>59</v>
      </c>
      <c r="D81" t="s">
        <v>125</v>
      </c>
      <c r="E81" s="2">
        <v>44628</v>
      </c>
      <c r="H81" s="1">
        <v>1700.0000000000002</v>
      </c>
      <c r="I81" s="1">
        <v>2500</v>
      </c>
      <c r="J81">
        <v>1</v>
      </c>
      <c r="K81" s="1"/>
      <c r="L81" s="1"/>
      <c r="M81" s="1">
        <f t="shared" si="5"/>
        <v>0</v>
      </c>
      <c r="N81" t="s">
        <v>22</v>
      </c>
      <c r="O81" t="s">
        <v>27</v>
      </c>
      <c r="P81">
        <v>2008</v>
      </c>
      <c r="Q81">
        <v>3008</v>
      </c>
      <c r="R81" t="s">
        <v>43</v>
      </c>
      <c r="S81" t="s">
        <v>29</v>
      </c>
      <c r="T81">
        <v>27</v>
      </c>
      <c r="U81">
        <f t="shared" si="6"/>
        <v>3</v>
      </c>
      <c r="V81">
        <f t="shared" si="7"/>
        <v>2022</v>
      </c>
      <c r="W81">
        <f t="shared" si="8"/>
        <v>2500</v>
      </c>
      <c r="X81">
        <f t="shared" si="9"/>
        <v>125</v>
      </c>
    </row>
    <row r="82" spans="1:24" x14ac:dyDescent="0.25">
      <c r="A82">
        <v>1081</v>
      </c>
      <c r="B82" t="s">
        <v>30</v>
      </c>
      <c r="C82" t="s">
        <v>31</v>
      </c>
      <c r="D82" t="s">
        <v>128</v>
      </c>
      <c r="E82" s="2">
        <v>44631</v>
      </c>
      <c r="H82" s="1">
        <v>780</v>
      </c>
      <c r="I82" s="1">
        <v>1300</v>
      </c>
      <c r="J82">
        <v>2</v>
      </c>
      <c r="K82" s="1"/>
      <c r="L82" s="1"/>
      <c r="M82" s="1">
        <f t="shared" si="5"/>
        <v>0</v>
      </c>
      <c r="N82" t="s">
        <v>22</v>
      </c>
      <c r="O82" t="s">
        <v>23</v>
      </c>
      <c r="P82">
        <v>2041</v>
      </c>
      <c r="Q82">
        <v>3041</v>
      </c>
      <c r="R82" t="s">
        <v>63</v>
      </c>
      <c r="S82" t="s">
        <v>25</v>
      </c>
      <c r="T82">
        <v>32</v>
      </c>
      <c r="U82">
        <f t="shared" si="6"/>
        <v>3</v>
      </c>
      <c r="V82">
        <f t="shared" si="7"/>
        <v>2022</v>
      </c>
      <c r="W82">
        <f t="shared" si="8"/>
        <v>2600</v>
      </c>
      <c r="X82">
        <f t="shared" si="9"/>
        <v>130</v>
      </c>
    </row>
    <row r="83" spans="1:24" x14ac:dyDescent="0.25">
      <c r="A83">
        <v>1082</v>
      </c>
      <c r="B83" t="s">
        <v>35</v>
      </c>
      <c r="C83" t="s">
        <v>36</v>
      </c>
      <c r="D83" t="s">
        <v>129</v>
      </c>
      <c r="E83" s="2">
        <v>44632</v>
      </c>
      <c r="H83" s="1">
        <v>960</v>
      </c>
      <c r="I83" s="1">
        <v>1600</v>
      </c>
      <c r="J83">
        <v>1</v>
      </c>
      <c r="K83" s="1"/>
      <c r="L83" s="1"/>
      <c r="M83" s="1">
        <f t="shared" si="5"/>
        <v>0</v>
      </c>
      <c r="N83" t="s">
        <v>26</v>
      </c>
      <c r="O83" t="s">
        <v>27</v>
      </c>
      <c r="P83">
        <v>2042</v>
      </c>
      <c r="Q83">
        <v>3042</v>
      </c>
      <c r="R83" t="s">
        <v>64</v>
      </c>
      <c r="S83" t="s">
        <v>29</v>
      </c>
      <c r="T83">
        <v>29</v>
      </c>
      <c r="U83">
        <f t="shared" si="6"/>
        <v>3</v>
      </c>
      <c r="V83">
        <f t="shared" si="7"/>
        <v>2022</v>
      </c>
      <c r="W83">
        <f t="shared" si="8"/>
        <v>1600</v>
      </c>
      <c r="X83">
        <f t="shared" si="9"/>
        <v>0</v>
      </c>
    </row>
    <row r="84" spans="1:24" x14ac:dyDescent="0.25">
      <c r="A84">
        <v>1083</v>
      </c>
      <c r="B84" t="s">
        <v>35</v>
      </c>
      <c r="C84" t="s">
        <v>36</v>
      </c>
      <c r="D84" t="s">
        <v>130</v>
      </c>
      <c r="E84" s="2">
        <v>44633</v>
      </c>
      <c r="H84" s="1">
        <v>1292</v>
      </c>
      <c r="I84" s="1">
        <v>1900</v>
      </c>
      <c r="J84">
        <v>3</v>
      </c>
      <c r="K84" s="1"/>
      <c r="L84" s="1"/>
      <c r="M84" s="1">
        <f t="shared" si="5"/>
        <v>0</v>
      </c>
      <c r="N84" t="s">
        <v>22</v>
      </c>
      <c r="O84" t="s">
        <v>32</v>
      </c>
      <c r="P84">
        <v>2043</v>
      </c>
      <c r="Q84">
        <v>3043</v>
      </c>
      <c r="R84" t="s">
        <v>66</v>
      </c>
      <c r="S84" t="s">
        <v>25</v>
      </c>
      <c r="T84">
        <v>21</v>
      </c>
      <c r="U84">
        <f t="shared" si="6"/>
        <v>3</v>
      </c>
      <c r="V84">
        <f t="shared" si="7"/>
        <v>2022</v>
      </c>
      <c r="W84">
        <f t="shared" si="8"/>
        <v>5700</v>
      </c>
      <c r="X84">
        <f t="shared" si="9"/>
        <v>285</v>
      </c>
    </row>
    <row r="85" spans="1:24" x14ac:dyDescent="0.25">
      <c r="A85">
        <v>1084</v>
      </c>
      <c r="B85" t="s">
        <v>20</v>
      </c>
      <c r="C85" t="s">
        <v>41</v>
      </c>
      <c r="D85" t="s">
        <v>131</v>
      </c>
      <c r="E85" s="2">
        <v>44634</v>
      </c>
      <c r="H85" s="1">
        <v>1496</v>
      </c>
      <c r="I85" s="1">
        <v>2200</v>
      </c>
      <c r="J85">
        <v>1</v>
      </c>
      <c r="K85" s="1"/>
      <c r="L85" s="1"/>
      <c r="M85" s="1">
        <f t="shared" si="5"/>
        <v>0</v>
      </c>
      <c r="N85" t="s">
        <v>22</v>
      </c>
      <c r="O85" t="s">
        <v>23</v>
      </c>
      <c r="P85">
        <v>2044</v>
      </c>
      <c r="Q85">
        <v>3044</v>
      </c>
      <c r="R85" t="s">
        <v>67</v>
      </c>
      <c r="S85" t="s">
        <v>29</v>
      </c>
      <c r="T85">
        <v>19</v>
      </c>
      <c r="U85">
        <f t="shared" si="6"/>
        <v>3</v>
      </c>
      <c r="V85">
        <f t="shared" si="7"/>
        <v>2022</v>
      </c>
      <c r="W85">
        <f t="shared" si="8"/>
        <v>2200</v>
      </c>
      <c r="X85">
        <f t="shared" si="9"/>
        <v>110</v>
      </c>
    </row>
    <row r="86" spans="1:24" x14ac:dyDescent="0.25">
      <c r="A86">
        <v>1085</v>
      </c>
      <c r="B86" t="s">
        <v>20</v>
      </c>
      <c r="C86" t="s">
        <v>41</v>
      </c>
      <c r="D86" t="s">
        <v>132</v>
      </c>
      <c r="E86" s="2">
        <v>44635</v>
      </c>
      <c r="H86" s="1">
        <v>1340</v>
      </c>
      <c r="I86" s="1">
        <v>2000</v>
      </c>
      <c r="J86">
        <v>2</v>
      </c>
      <c r="K86" s="1"/>
      <c r="L86" s="1"/>
      <c r="M86" s="1">
        <f t="shared" si="5"/>
        <v>0</v>
      </c>
      <c r="N86" t="s">
        <v>26</v>
      </c>
      <c r="O86" t="s">
        <v>27</v>
      </c>
      <c r="P86">
        <v>2045</v>
      </c>
      <c r="Q86">
        <v>3045</v>
      </c>
      <c r="R86" t="s">
        <v>69</v>
      </c>
      <c r="S86" t="s">
        <v>25</v>
      </c>
      <c r="T86">
        <v>36</v>
      </c>
      <c r="U86">
        <f t="shared" si="6"/>
        <v>3</v>
      </c>
      <c r="V86">
        <f t="shared" si="7"/>
        <v>2022</v>
      </c>
      <c r="W86">
        <f t="shared" si="8"/>
        <v>4000</v>
      </c>
      <c r="X86">
        <f t="shared" si="9"/>
        <v>200</v>
      </c>
    </row>
    <row r="87" spans="1:24" x14ac:dyDescent="0.25">
      <c r="A87">
        <v>1086</v>
      </c>
      <c r="B87" t="s">
        <v>20</v>
      </c>
      <c r="C87" t="s">
        <v>44</v>
      </c>
      <c r="D87" t="s">
        <v>133</v>
      </c>
      <c r="E87" s="2">
        <v>44636</v>
      </c>
      <c r="H87" s="1">
        <v>1541</v>
      </c>
      <c r="I87" s="1">
        <v>2300</v>
      </c>
      <c r="J87">
        <v>1</v>
      </c>
      <c r="K87" s="1"/>
      <c r="L87" s="1"/>
      <c r="M87" s="1">
        <f t="shared" si="5"/>
        <v>0</v>
      </c>
      <c r="N87" t="s">
        <v>22</v>
      </c>
      <c r="O87" t="s">
        <v>23</v>
      </c>
      <c r="P87">
        <v>2046</v>
      </c>
      <c r="Q87">
        <v>3046</v>
      </c>
      <c r="R87" t="s">
        <v>70</v>
      </c>
      <c r="S87" t="s">
        <v>29</v>
      </c>
      <c r="T87">
        <v>34</v>
      </c>
      <c r="U87">
        <f t="shared" si="6"/>
        <v>3</v>
      </c>
      <c r="V87">
        <f t="shared" si="7"/>
        <v>2022</v>
      </c>
      <c r="W87">
        <f t="shared" si="8"/>
        <v>2300</v>
      </c>
      <c r="X87">
        <f t="shared" si="9"/>
        <v>115</v>
      </c>
    </row>
    <row r="88" spans="1:24" x14ac:dyDescent="0.25">
      <c r="A88">
        <v>1087</v>
      </c>
      <c r="B88" t="s">
        <v>20</v>
      </c>
      <c r="C88" t="s">
        <v>44</v>
      </c>
      <c r="D88" t="s">
        <v>72</v>
      </c>
      <c r="E88" s="2">
        <v>44637</v>
      </c>
      <c r="H88" s="1">
        <v>2250</v>
      </c>
      <c r="I88" s="1">
        <v>3000</v>
      </c>
      <c r="J88">
        <v>2</v>
      </c>
      <c r="K88" s="1"/>
      <c r="L88" s="1"/>
      <c r="M88" s="1">
        <f t="shared" si="5"/>
        <v>0</v>
      </c>
      <c r="N88" t="s">
        <v>26</v>
      </c>
      <c r="O88" t="s">
        <v>23</v>
      </c>
      <c r="P88">
        <v>2047</v>
      </c>
      <c r="Q88">
        <v>3047</v>
      </c>
      <c r="R88" t="s">
        <v>73</v>
      </c>
      <c r="S88" t="s">
        <v>25</v>
      </c>
      <c r="T88">
        <v>40</v>
      </c>
      <c r="U88">
        <f t="shared" si="6"/>
        <v>3</v>
      </c>
      <c r="V88">
        <f t="shared" si="7"/>
        <v>2022</v>
      </c>
      <c r="W88">
        <f t="shared" si="8"/>
        <v>6000</v>
      </c>
      <c r="X88">
        <f t="shared" si="9"/>
        <v>300</v>
      </c>
    </row>
    <row r="89" spans="1:24" x14ac:dyDescent="0.25">
      <c r="A89">
        <v>1088</v>
      </c>
      <c r="B89" t="s">
        <v>30</v>
      </c>
      <c r="C89" t="s">
        <v>49</v>
      </c>
      <c r="D89" t="s">
        <v>74</v>
      </c>
      <c r="E89" s="2">
        <v>44638</v>
      </c>
      <c r="H89" s="1">
        <v>2625</v>
      </c>
      <c r="I89" s="1">
        <v>3500</v>
      </c>
      <c r="J89">
        <v>1</v>
      </c>
      <c r="K89" s="1"/>
      <c r="L89" s="1"/>
      <c r="M89" s="1">
        <f t="shared" si="5"/>
        <v>0</v>
      </c>
      <c r="N89" t="s">
        <v>22</v>
      </c>
      <c r="O89" t="s">
        <v>27</v>
      </c>
      <c r="P89">
        <v>2048</v>
      </c>
      <c r="Q89">
        <v>3048</v>
      </c>
      <c r="R89" t="s">
        <v>75</v>
      </c>
      <c r="S89" t="s">
        <v>29</v>
      </c>
      <c r="T89">
        <v>38</v>
      </c>
      <c r="U89">
        <f t="shared" si="6"/>
        <v>3</v>
      </c>
      <c r="V89">
        <f t="shared" si="7"/>
        <v>2022</v>
      </c>
      <c r="W89">
        <f t="shared" si="8"/>
        <v>3500</v>
      </c>
      <c r="X89">
        <f t="shared" si="9"/>
        <v>175</v>
      </c>
    </row>
    <row r="90" spans="1:24" x14ac:dyDescent="0.25">
      <c r="A90">
        <v>1089</v>
      </c>
      <c r="B90" t="s">
        <v>30</v>
      </c>
      <c r="C90" t="s">
        <v>49</v>
      </c>
      <c r="D90" t="s">
        <v>45</v>
      </c>
      <c r="E90" s="2">
        <v>44641</v>
      </c>
      <c r="H90" s="1">
        <v>737</v>
      </c>
      <c r="I90" s="1">
        <v>1100</v>
      </c>
      <c r="J90">
        <v>2</v>
      </c>
      <c r="K90" s="1"/>
      <c r="L90" s="1"/>
      <c r="M90" s="1">
        <f t="shared" si="5"/>
        <v>0</v>
      </c>
      <c r="N90" t="s">
        <v>22</v>
      </c>
      <c r="O90" t="s">
        <v>23</v>
      </c>
      <c r="P90">
        <v>2021</v>
      </c>
      <c r="Q90">
        <v>3021</v>
      </c>
      <c r="R90" t="s">
        <v>46</v>
      </c>
      <c r="S90" t="s">
        <v>25</v>
      </c>
      <c r="T90">
        <v>24</v>
      </c>
      <c r="U90">
        <f t="shared" si="6"/>
        <v>3</v>
      </c>
      <c r="V90">
        <f t="shared" si="7"/>
        <v>2022</v>
      </c>
      <c r="W90">
        <f t="shared" si="8"/>
        <v>2200</v>
      </c>
      <c r="X90">
        <f t="shared" si="9"/>
        <v>110</v>
      </c>
    </row>
    <row r="91" spans="1:24" x14ac:dyDescent="0.25">
      <c r="A91">
        <v>1090</v>
      </c>
      <c r="B91" t="s">
        <v>35</v>
      </c>
      <c r="C91" t="s">
        <v>54</v>
      </c>
      <c r="D91" t="s">
        <v>47</v>
      </c>
      <c r="E91" s="2">
        <v>44642</v>
      </c>
      <c r="H91" s="1">
        <v>938</v>
      </c>
      <c r="I91" s="1">
        <v>1400</v>
      </c>
      <c r="J91">
        <v>1</v>
      </c>
      <c r="K91" s="1"/>
      <c r="L91" s="1"/>
      <c r="M91" s="1">
        <f t="shared" si="5"/>
        <v>0</v>
      </c>
      <c r="N91" t="s">
        <v>26</v>
      </c>
      <c r="O91" t="s">
        <v>27</v>
      </c>
      <c r="P91">
        <v>2022</v>
      </c>
      <c r="Q91">
        <v>3022</v>
      </c>
      <c r="R91" t="s">
        <v>48</v>
      </c>
      <c r="S91" t="s">
        <v>29</v>
      </c>
      <c r="T91">
        <v>21</v>
      </c>
      <c r="U91">
        <f t="shared" si="6"/>
        <v>3</v>
      </c>
      <c r="V91">
        <f t="shared" si="7"/>
        <v>2022</v>
      </c>
      <c r="W91">
        <f t="shared" si="8"/>
        <v>1400</v>
      </c>
      <c r="X91">
        <f t="shared" si="9"/>
        <v>0</v>
      </c>
    </row>
    <row r="92" spans="1:24" x14ac:dyDescent="0.25">
      <c r="A92">
        <v>1091</v>
      </c>
      <c r="B92" t="s">
        <v>35</v>
      </c>
      <c r="C92" t="s">
        <v>54</v>
      </c>
      <c r="D92" t="s">
        <v>50</v>
      </c>
      <c r="E92" s="2">
        <v>44643</v>
      </c>
      <c r="H92" s="1">
        <v>1190</v>
      </c>
      <c r="I92" s="1">
        <v>1700</v>
      </c>
      <c r="J92">
        <v>3</v>
      </c>
      <c r="K92" s="1"/>
      <c r="L92" s="1"/>
      <c r="M92" s="1">
        <f t="shared" si="5"/>
        <v>0</v>
      </c>
      <c r="N92" t="s">
        <v>22</v>
      </c>
      <c r="O92" t="s">
        <v>32</v>
      </c>
      <c r="P92">
        <v>2023</v>
      </c>
      <c r="Q92">
        <v>3023</v>
      </c>
      <c r="R92" t="s">
        <v>51</v>
      </c>
      <c r="S92" t="s">
        <v>25</v>
      </c>
      <c r="T92">
        <v>20</v>
      </c>
      <c r="U92">
        <f t="shared" si="6"/>
        <v>3</v>
      </c>
      <c r="V92">
        <f t="shared" si="7"/>
        <v>2022</v>
      </c>
      <c r="W92">
        <f t="shared" si="8"/>
        <v>5100</v>
      </c>
      <c r="X92">
        <f t="shared" si="9"/>
        <v>255</v>
      </c>
    </row>
    <row r="93" spans="1:24" x14ac:dyDescent="0.25">
      <c r="A93">
        <v>1092</v>
      </c>
      <c r="B93" t="s">
        <v>20</v>
      </c>
      <c r="C93" t="s">
        <v>59</v>
      </c>
      <c r="D93" t="s">
        <v>50</v>
      </c>
      <c r="E93" s="2">
        <v>44643</v>
      </c>
      <c r="H93" s="1">
        <v>1190</v>
      </c>
      <c r="I93" s="1">
        <v>1700</v>
      </c>
      <c r="J93">
        <v>3</v>
      </c>
      <c r="K93" s="1"/>
      <c r="L93" s="1"/>
      <c r="M93" s="1">
        <f t="shared" si="5"/>
        <v>0</v>
      </c>
      <c r="N93" t="s">
        <v>22</v>
      </c>
      <c r="O93" t="s">
        <v>32</v>
      </c>
      <c r="P93">
        <v>2023</v>
      </c>
      <c r="Q93">
        <v>3023</v>
      </c>
      <c r="R93" t="s">
        <v>51</v>
      </c>
      <c r="S93" t="s">
        <v>25</v>
      </c>
      <c r="T93">
        <v>20</v>
      </c>
      <c r="U93">
        <f t="shared" si="6"/>
        <v>3</v>
      </c>
      <c r="V93">
        <f t="shared" si="7"/>
        <v>2022</v>
      </c>
      <c r="W93">
        <f t="shared" si="8"/>
        <v>5100</v>
      </c>
      <c r="X93">
        <f t="shared" si="9"/>
        <v>255</v>
      </c>
    </row>
    <row r="94" spans="1:24" x14ac:dyDescent="0.25">
      <c r="A94">
        <v>1093</v>
      </c>
      <c r="B94" t="s">
        <v>20</v>
      </c>
      <c r="C94" t="s">
        <v>59</v>
      </c>
      <c r="D94" t="s">
        <v>52</v>
      </c>
      <c r="E94" s="2">
        <v>44644</v>
      </c>
      <c r="H94" s="1">
        <v>1400</v>
      </c>
      <c r="I94" s="1">
        <v>2000</v>
      </c>
      <c r="J94">
        <v>1</v>
      </c>
      <c r="K94" s="1"/>
      <c r="L94" s="1"/>
      <c r="M94" s="1">
        <f t="shared" si="5"/>
        <v>0</v>
      </c>
      <c r="N94" t="s">
        <v>22</v>
      </c>
      <c r="O94" t="s">
        <v>23</v>
      </c>
      <c r="P94">
        <v>2024</v>
      </c>
      <c r="Q94">
        <v>3024</v>
      </c>
      <c r="R94" t="s">
        <v>53</v>
      </c>
      <c r="S94" t="s">
        <v>29</v>
      </c>
      <c r="T94">
        <v>18</v>
      </c>
      <c r="U94">
        <f t="shared" si="6"/>
        <v>3</v>
      </c>
      <c r="V94">
        <f t="shared" si="7"/>
        <v>2022</v>
      </c>
      <c r="W94">
        <f t="shared" si="8"/>
        <v>2000</v>
      </c>
      <c r="X94">
        <f t="shared" si="9"/>
        <v>0</v>
      </c>
    </row>
    <row r="95" spans="1:24" x14ac:dyDescent="0.25">
      <c r="A95">
        <v>1094</v>
      </c>
      <c r="B95" t="s">
        <v>30</v>
      </c>
      <c r="C95" t="s">
        <v>31</v>
      </c>
      <c r="D95" t="s">
        <v>52</v>
      </c>
      <c r="E95" s="2">
        <v>44644</v>
      </c>
      <c r="H95" s="1">
        <v>1400</v>
      </c>
      <c r="I95" s="1">
        <v>2000</v>
      </c>
      <c r="J95">
        <v>1</v>
      </c>
      <c r="K95" s="1"/>
      <c r="L95" s="1"/>
      <c r="M95" s="1">
        <f t="shared" si="5"/>
        <v>0</v>
      </c>
      <c r="N95" t="s">
        <v>22</v>
      </c>
      <c r="O95" t="s">
        <v>23</v>
      </c>
      <c r="P95">
        <v>2024</v>
      </c>
      <c r="Q95">
        <v>3024</v>
      </c>
      <c r="R95" t="s">
        <v>53</v>
      </c>
      <c r="S95" t="s">
        <v>29</v>
      </c>
      <c r="T95">
        <v>18</v>
      </c>
      <c r="U95">
        <f t="shared" si="6"/>
        <v>3</v>
      </c>
      <c r="V95">
        <f t="shared" si="7"/>
        <v>2022</v>
      </c>
      <c r="W95">
        <f t="shared" si="8"/>
        <v>2000</v>
      </c>
      <c r="X95">
        <f t="shared" si="9"/>
        <v>0</v>
      </c>
    </row>
    <row r="96" spans="1:24" x14ac:dyDescent="0.25">
      <c r="A96">
        <v>1095</v>
      </c>
      <c r="B96" t="s">
        <v>35</v>
      </c>
      <c r="C96" t="s">
        <v>36</v>
      </c>
      <c r="D96" t="s">
        <v>55</v>
      </c>
      <c r="E96" s="2">
        <v>44645</v>
      </c>
      <c r="H96" s="1">
        <v>975</v>
      </c>
      <c r="I96" s="1">
        <v>1500</v>
      </c>
      <c r="J96">
        <v>2</v>
      </c>
      <c r="K96" s="1"/>
      <c r="L96" s="1"/>
      <c r="M96" s="1">
        <f t="shared" si="5"/>
        <v>0</v>
      </c>
      <c r="N96" t="s">
        <v>26</v>
      </c>
      <c r="O96" t="s">
        <v>27</v>
      </c>
      <c r="P96">
        <v>2025</v>
      </c>
      <c r="Q96">
        <v>3025</v>
      </c>
      <c r="R96" t="s">
        <v>56</v>
      </c>
      <c r="S96" t="s">
        <v>25</v>
      </c>
      <c r="T96">
        <v>28</v>
      </c>
      <c r="U96">
        <f t="shared" si="6"/>
        <v>3</v>
      </c>
      <c r="V96">
        <f t="shared" si="7"/>
        <v>2022</v>
      </c>
      <c r="W96">
        <f t="shared" si="8"/>
        <v>3000</v>
      </c>
      <c r="X96">
        <f t="shared" si="9"/>
        <v>150</v>
      </c>
    </row>
    <row r="97" spans="1:24" x14ac:dyDescent="0.25">
      <c r="A97">
        <v>1096</v>
      </c>
      <c r="B97" t="s">
        <v>35</v>
      </c>
      <c r="C97" t="s">
        <v>36</v>
      </c>
      <c r="D97" t="s">
        <v>55</v>
      </c>
      <c r="E97" s="2">
        <v>44645</v>
      </c>
      <c r="H97" s="1">
        <v>975</v>
      </c>
      <c r="I97" s="1">
        <v>1500</v>
      </c>
      <c r="J97">
        <v>2</v>
      </c>
      <c r="K97" s="1"/>
      <c r="L97" s="1"/>
      <c r="M97" s="1">
        <f t="shared" si="5"/>
        <v>0</v>
      </c>
      <c r="N97" t="s">
        <v>26</v>
      </c>
      <c r="O97" t="s">
        <v>27</v>
      </c>
      <c r="P97">
        <v>2025</v>
      </c>
      <c r="Q97">
        <v>3025</v>
      </c>
      <c r="R97" t="s">
        <v>56</v>
      </c>
      <c r="S97" t="s">
        <v>25</v>
      </c>
      <c r="T97">
        <v>28</v>
      </c>
      <c r="U97">
        <f t="shared" si="6"/>
        <v>3</v>
      </c>
      <c r="V97">
        <f t="shared" si="7"/>
        <v>2022</v>
      </c>
      <c r="W97">
        <f t="shared" si="8"/>
        <v>3000</v>
      </c>
      <c r="X97">
        <f t="shared" si="9"/>
        <v>150</v>
      </c>
    </row>
    <row r="98" spans="1:24" x14ac:dyDescent="0.25">
      <c r="A98">
        <v>1097</v>
      </c>
      <c r="B98" t="s">
        <v>20</v>
      </c>
      <c r="C98" t="s">
        <v>41</v>
      </c>
      <c r="D98" t="s">
        <v>57</v>
      </c>
      <c r="E98" s="2">
        <v>44646</v>
      </c>
      <c r="H98" s="1">
        <v>1170</v>
      </c>
      <c r="I98" s="1">
        <v>1800</v>
      </c>
      <c r="J98">
        <v>1</v>
      </c>
      <c r="K98" s="1"/>
      <c r="L98" s="1"/>
      <c r="M98" s="1">
        <f t="shared" si="5"/>
        <v>0</v>
      </c>
      <c r="N98" t="s">
        <v>22</v>
      </c>
      <c r="O98" t="s">
        <v>23</v>
      </c>
      <c r="P98">
        <v>2026</v>
      </c>
      <c r="Q98">
        <v>3026</v>
      </c>
      <c r="R98" t="s">
        <v>58</v>
      </c>
      <c r="S98" t="s">
        <v>29</v>
      </c>
      <c r="T98">
        <v>26</v>
      </c>
      <c r="U98">
        <f t="shared" si="6"/>
        <v>3</v>
      </c>
      <c r="V98">
        <f t="shared" si="7"/>
        <v>2022</v>
      </c>
      <c r="W98">
        <f t="shared" si="8"/>
        <v>1800</v>
      </c>
      <c r="X98">
        <f t="shared" si="9"/>
        <v>0</v>
      </c>
    </row>
    <row r="99" spans="1:24" x14ac:dyDescent="0.25">
      <c r="A99">
        <v>1098</v>
      </c>
      <c r="B99" t="s">
        <v>20</v>
      </c>
      <c r="C99" t="s">
        <v>41</v>
      </c>
      <c r="D99" t="s">
        <v>57</v>
      </c>
      <c r="E99" s="2">
        <v>44646</v>
      </c>
      <c r="H99" s="1">
        <v>1170</v>
      </c>
      <c r="I99" s="1">
        <v>1800</v>
      </c>
      <c r="J99">
        <v>1</v>
      </c>
      <c r="K99" s="1"/>
      <c r="L99" s="1"/>
      <c r="M99" s="1">
        <f t="shared" si="5"/>
        <v>0</v>
      </c>
      <c r="N99" t="s">
        <v>22</v>
      </c>
      <c r="O99" t="s">
        <v>23</v>
      </c>
      <c r="P99">
        <v>2026</v>
      </c>
      <c r="Q99">
        <v>3026</v>
      </c>
      <c r="R99" t="s">
        <v>58</v>
      </c>
      <c r="S99" t="s">
        <v>29</v>
      </c>
      <c r="T99">
        <v>26</v>
      </c>
      <c r="U99">
        <f t="shared" si="6"/>
        <v>3</v>
      </c>
      <c r="V99">
        <f t="shared" si="7"/>
        <v>2022</v>
      </c>
      <c r="W99">
        <f t="shared" si="8"/>
        <v>1800</v>
      </c>
      <c r="X99">
        <f t="shared" si="9"/>
        <v>0</v>
      </c>
    </row>
    <row r="100" spans="1:24" x14ac:dyDescent="0.25">
      <c r="A100">
        <v>1099</v>
      </c>
      <c r="B100" t="s">
        <v>20</v>
      </c>
      <c r="C100" t="s">
        <v>44</v>
      </c>
      <c r="D100" t="s">
        <v>126</v>
      </c>
      <c r="E100" s="2">
        <v>44647</v>
      </c>
      <c r="H100" s="1">
        <v>1656</v>
      </c>
      <c r="I100" s="1">
        <v>2300</v>
      </c>
      <c r="J100">
        <v>2</v>
      </c>
      <c r="K100" s="1"/>
      <c r="L100" s="1"/>
      <c r="M100" s="1">
        <f t="shared" si="5"/>
        <v>0</v>
      </c>
      <c r="N100" t="s">
        <v>26</v>
      </c>
      <c r="O100" t="s">
        <v>23</v>
      </c>
      <c r="P100">
        <v>2027</v>
      </c>
      <c r="Q100">
        <v>3027</v>
      </c>
      <c r="R100" t="s">
        <v>60</v>
      </c>
      <c r="S100" t="s">
        <v>25</v>
      </c>
      <c r="T100">
        <v>30</v>
      </c>
      <c r="U100">
        <f t="shared" si="6"/>
        <v>3</v>
      </c>
      <c r="V100">
        <f t="shared" si="7"/>
        <v>2022</v>
      </c>
      <c r="W100">
        <f t="shared" si="8"/>
        <v>4600</v>
      </c>
      <c r="X100">
        <f t="shared" si="9"/>
        <v>230</v>
      </c>
    </row>
    <row r="101" spans="1:24" x14ac:dyDescent="0.25">
      <c r="A101">
        <v>1100</v>
      </c>
      <c r="B101" t="s">
        <v>20</v>
      </c>
      <c r="C101" t="s">
        <v>44</v>
      </c>
      <c r="D101" t="s">
        <v>126</v>
      </c>
      <c r="E101" s="2">
        <v>44647</v>
      </c>
      <c r="H101" s="1">
        <v>1656</v>
      </c>
      <c r="I101" s="1">
        <v>2300</v>
      </c>
      <c r="J101">
        <v>2</v>
      </c>
      <c r="K101" s="1"/>
      <c r="L101" s="1"/>
      <c r="M101" s="1">
        <f t="shared" si="5"/>
        <v>0</v>
      </c>
      <c r="N101" t="s">
        <v>26</v>
      </c>
      <c r="O101" t="s">
        <v>23</v>
      </c>
      <c r="P101">
        <v>2027</v>
      </c>
      <c r="Q101">
        <v>3027</v>
      </c>
      <c r="R101" t="s">
        <v>60</v>
      </c>
      <c r="S101" t="s">
        <v>25</v>
      </c>
      <c r="T101">
        <v>30</v>
      </c>
      <c r="U101">
        <f t="shared" si="6"/>
        <v>3</v>
      </c>
      <c r="V101">
        <f t="shared" si="7"/>
        <v>2022</v>
      </c>
      <c r="W101">
        <f t="shared" si="8"/>
        <v>4600</v>
      </c>
      <c r="X101">
        <f t="shared" si="9"/>
        <v>230</v>
      </c>
    </row>
    <row r="102" spans="1:24" x14ac:dyDescent="0.25">
      <c r="A102">
        <v>1101</v>
      </c>
      <c r="B102" t="s">
        <v>30</v>
      </c>
      <c r="C102" t="s">
        <v>49</v>
      </c>
      <c r="D102" t="s">
        <v>127</v>
      </c>
      <c r="E102" s="2">
        <v>44648</v>
      </c>
      <c r="H102" s="1">
        <v>1872</v>
      </c>
      <c r="I102" s="1">
        <v>2600</v>
      </c>
      <c r="J102">
        <v>1</v>
      </c>
      <c r="K102" s="1"/>
      <c r="L102" s="1"/>
      <c r="M102" s="1">
        <f t="shared" si="5"/>
        <v>0</v>
      </c>
      <c r="N102" t="s">
        <v>22</v>
      </c>
      <c r="O102" t="s">
        <v>27</v>
      </c>
      <c r="P102">
        <v>2028</v>
      </c>
      <c r="Q102">
        <v>3028</v>
      </c>
      <c r="R102" t="s">
        <v>61</v>
      </c>
      <c r="S102" t="s">
        <v>29</v>
      </c>
      <c r="T102">
        <v>28</v>
      </c>
      <c r="U102">
        <f t="shared" si="6"/>
        <v>3</v>
      </c>
      <c r="V102">
        <f t="shared" si="7"/>
        <v>2022</v>
      </c>
      <c r="W102">
        <f t="shared" si="8"/>
        <v>2600</v>
      </c>
      <c r="X102">
        <f t="shared" si="9"/>
        <v>130</v>
      </c>
    </row>
    <row r="103" spans="1:24" x14ac:dyDescent="0.25">
      <c r="A103">
        <v>1102</v>
      </c>
      <c r="B103" t="s">
        <v>30</v>
      </c>
      <c r="C103" t="s">
        <v>49</v>
      </c>
      <c r="D103" t="s">
        <v>127</v>
      </c>
      <c r="E103" s="2">
        <v>44648</v>
      </c>
      <c r="H103" s="1">
        <v>1872</v>
      </c>
      <c r="I103" s="1">
        <v>2600</v>
      </c>
      <c r="J103">
        <v>1</v>
      </c>
      <c r="K103" s="1"/>
      <c r="L103" s="1"/>
      <c r="M103" s="1">
        <f t="shared" si="5"/>
        <v>0</v>
      </c>
      <c r="N103" t="s">
        <v>22</v>
      </c>
      <c r="O103" t="s">
        <v>27</v>
      </c>
      <c r="P103">
        <v>2028</v>
      </c>
      <c r="Q103">
        <v>3028</v>
      </c>
      <c r="R103" t="s">
        <v>61</v>
      </c>
      <c r="S103" t="s">
        <v>29</v>
      </c>
      <c r="T103">
        <v>28</v>
      </c>
      <c r="U103">
        <f t="shared" si="6"/>
        <v>3</v>
      </c>
      <c r="V103">
        <f t="shared" si="7"/>
        <v>2022</v>
      </c>
      <c r="W103">
        <f t="shared" si="8"/>
        <v>2600</v>
      </c>
      <c r="X103">
        <f t="shared" si="9"/>
        <v>130</v>
      </c>
    </row>
    <row r="104" spans="1:24" x14ac:dyDescent="0.25">
      <c r="A104">
        <v>1103</v>
      </c>
      <c r="B104" t="s">
        <v>35</v>
      </c>
      <c r="C104" t="s">
        <v>54</v>
      </c>
      <c r="D104" t="s">
        <v>120</v>
      </c>
      <c r="E104" s="2">
        <v>44927</v>
      </c>
      <c r="H104" s="1">
        <v>840</v>
      </c>
      <c r="I104" s="1">
        <v>1200</v>
      </c>
      <c r="J104">
        <v>2</v>
      </c>
      <c r="K104" s="1"/>
      <c r="L104" s="1"/>
      <c r="M104" s="1">
        <f t="shared" si="5"/>
        <v>0</v>
      </c>
      <c r="N104" t="s">
        <v>22</v>
      </c>
      <c r="O104" t="s">
        <v>23</v>
      </c>
      <c r="P104">
        <v>2001</v>
      </c>
      <c r="Q104">
        <v>3001</v>
      </c>
      <c r="R104" t="s">
        <v>24</v>
      </c>
      <c r="S104" t="s">
        <v>25</v>
      </c>
      <c r="T104">
        <v>25</v>
      </c>
      <c r="U104">
        <f t="shared" si="6"/>
        <v>1</v>
      </c>
      <c r="V104">
        <f t="shared" si="7"/>
        <v>2023</v>
      </c>
      <c r="W104">
        <f t="shared" si="8"/>
        <v>2400</v>
      </c>
      <c r="X104">
        <f t="shared" si="9"/>
        <v>120</v>
      </c>
    </row>
    <row r="105" spans="1:24" x14ac:dyDescent="0.25">
      <c r="A105">
        <v>1104</v>
      </c>
      <c r="B105" t="s">
        <v>35</v>
      </c>
      <c r="C105" t="s">
        <v>54</v>
      </c>
      <c r="D105" t="s">
        <v>134</v>
      </c>
      <c r="E105" s="2">
        <v>44927</v>
      </c>
      <c r="H105" s="1">
        <v>1460</v>
      </c>
      <c r="I105" s="1">
        <v>2000</v>
      </c>
      <c r="J105">
        <v>2</v>
      </c>
      <c r="K105" s="1"/>
      <c r="L105" s="1"/>
      <c r="M105" s="1">
        <f t="shared" si="5"/>
        <v>0</v>
      </c>
      <c r="N105" t="s">
        <v>22</v>
      </c>
      <c r="O105" t="s">
        <v>23</v>
      </c>
      <c r="P105">
        <v>2061</v>
      </c>
      <c r="Q105">
        <v>3061</v>
      </c>
      <c r="R105" t="s">
        <v>78</v>
      </c>
      <c r="S105" t="s">
        <v>25</v>
      </c>
      <c r="T105">
        <v>35</v>
      </c>
      <c r="U105">
        <f t="shared" si="6"/>
        <v>1</v>
      </c>
      <c r="V105">
        <f t="shared" si="7"/>
        <v>2023</v>
      </c>
      <c r="W105">
        <f t="shared" si="8"/>
        <v>4000</v>
      </c>
      <c r="X105">
        <f t="shared" si="9"/>
        <v>200</v>
      </c>
    </row>
    <row r="106" spans="1:24" x14ac:dyDescent="0.25">
      <c r="A106">
        <v>1105</v>
      </c>
      <c r="B106" t="s">
        <v>20</v>
      </c>
      <c r="C106" t="s">
        <v>59</v>
      </c>
      <c r="D106" t="s">
        <v>121</v>
      </c>
      <c r="E106" s="2">
        <v>44928</v>
      </c>
      <c r="H106" s="1">
        <v>1050</v>
      </c>
      <c r="I106" s="1">
        <v>1500</v>
      </c>
      <c r="J106">
        <v>1</v>
      </c>
      <c r="K106" s="1"/>
      <c r="L106" s="1"/>
      <c r="M106" s="1">
        <f t="shared" si="5"/>
        <v>0</v>
      </c>
      <c r="N106" t="s">
        <v>26</v>
      </c>
      <c r="O106" t="s">
        <v>27</v>
      </c>
      <c r="P106">
        <v>2002</v>
      </c>
      <c r="Q106">
        <v>3002</v>
      </c>
      <c r="R106" t="s">
        <v>28</v>
      </c>
      <c r="S106" t="s">
        <v>29</v>
      </c>
      <c r="T106">
        <v>22</v>
      </c>
      <c r="U106">
        <f t="shared" si="6"/>
        <v>1</v>
      </c>
      <c r="V106">
        <f t="shared" si="7"/>
        <v>2023</v>
      </c>
      <c r="W106">
        <f t="shared" si="8"/>
        <v>1500</v>
      </c>
      <c r="X106">
        <f t="shared" si="9"/>
        <v>0</v>
      </c>
    </row>
    <row r="107" spans="1:24" x14ac:dyDescent="0.25">
      <c r="A107">
        <v>1106</v>
      </c>
      <c r="B107" t="s">
        <v>20</v>
      </c>
      <c r="C107" t="s">
        <v>59</v>
      </c>
      <c r="D107" t="s">
        <v>135</v>
      </c>
      <c r="E107" s="2">
        <v>44928</v>
      </c>
      <c r="H107" s="1">
        <v>1825</v>
      </c>
      <c r="I107" s="1">
        <v>2500</v>
      </c>
      <c r="J107">
        <v>1</v>
      </c>
      <c r="K107" s="1"/>
      <c r="L107" s="1"/>
      <c r="M107" s="1">
        <f t="shared" si="5"/>
        <v>0</v>
      </c>
      <c r="N107" t="s">
        <v>26</v>
      </c>
      <c r="O107" t="s">
        <v>27</v>
      </c>
      <c r="P107">
        <v>2062</v>
      </c>
      <c r="Q107">
        <v>3062</v>
      </c>
      <c r="R107" t="s">
        <v>79</v>
      </c>
      <c r="S107" t="s">
        <v>29</v>
      </c>
      <c r="T107">
        <v>33</v>
      </c>
      <c r="U107">
        <f t="shared" si="6"/>
        <v>1</v>
      </c>
      <c r="V107">
        <f t="shared" si="7"/>
        <v>2023</v>
      </c>
      <c r="W107">
        <f t="shared" si="8"/>
        <v>2500</v>
      </c>
      <c r="X107">
        <f t="shared" si="9"/>
        <v>125</v>
      </c>
    </row>
    <row r="108" spans="1:24" x14ac:dyDescent="0.25">
      <c r="A108">
        <v>1107</v>
      </c>
      <c r="B108" t="s">
        <v>20</v>
      </c>
      <c r="C108" t="s">
        <v>21</v>
      </c>
      <c r="D108" t="s">
        <v>122</v>
      </c>
      <c r="E108" s="2">
        <v>44929</v>
      </c>
      <c r="H108" s="1">
        <v>1260</v>
      </c>
      <c r="I108" s="1">
        <v>1800</v>
      </c>
      <c r="J108">
        <v>3</v>
      </c>
      <c r="K108" s="1"/>
      <c r="L108" s="1"/>
      <c r="M108" s="1">
        <f t="shared" si="5"/>
        <v>0</v>
      </c>
      <c r="N108" t="s">
        <v>22</v>
      </c>
      <c r="O108" t="s">
        <v>32</v>
      </c>
      <c r="P108">
        <v>2003</v>
      </c>
      <c r="Q108">
        <v>3003</v>
      </c>
      <c r="R108" t="s">
        <v>33</v>
      </c>
      <c r="S108" t="s">
        <v>25</v>
      </c>
      <c r="T108">
        <v>18</v>
      </c>
      <c r="U108">
        <f t="shared" si="6"/>
        <v>1</v>
      </c>
      <c r="V108">
        <f t="shared" si="7"/>
        <v>2023</v>
      </c>
      <c r="W108">
        <f t="shared" si="8"/>
        <v>5400</v>
      </c>
      <c r="X108">
        <f t="shared" si="9"/>
        <v>270</v>
      </c>
    </row>
    <row r="109" spans="1:24" x14ac:dyDescent="0.25">
      <c r="A109">
        <v>1108</v>
      </c>
      <c r="B109" t="s">
        <v>20</v>
      </c>
      <c r="C109" t="s">
        <v>21</v>
      </c>
      <c r="D109" t="s">
        <v>136</v>
      </c>
      <c r="E109" s="2">
        <v>44929</v>
      </c>
      <c r="H109" s="1">
        <v>1105</v>
      </c>
      <c r="I109" s="1">
        <v>1700</v>
      </c>
      <c r="J109">
        <v>3</v>
      </c>
      <c r="K109" s="1"/>
      <c r="L109" s="1"/>
      <c r="M109" s="1">
        <f t="shared" si="5"/>
        <v>0</v>
      </c>
      <c r="N109" t="s">
        <v>22</v>
      </c>
      <c r="O109" t="s">
        <v>32</v>
      </c>
      <c r="P109">
        <v>2063</v>
      </c>
      <c r="Q109">
        <v>3063</v>
      </c>
      <c r="R109" t="s">
        <v>81</v>
      </c>
      <c r="S109" t="s">
        <v>25</v>
      </c>
      <c r="T109">
        <v>22</v>
      </c>
      <c r="U109">
        <f t="shared" si="6"/>
        <v>1</v>
      </c>
      <c r="V109">
        <f t="shared" si="7"/>
        <v>2023</v>
      </c>
      <c r="W109">
        <f t="shared" si="8"/>
        <v>5100</v>
      </c>
      <c r="X109">
        <f t="shared" si="9"/>
        <v>255</v>
      </c>
    </row>
    <row r="110" spans="1:24" x14ac:dyDescent="0.25">
      <c r="A110">
        <v>1109</v>
      </c>
      <c r="B110" t="s">
        <v>30</v>
      </c>
      <c r="C110" t="s">
        <v>31</v>
      </c>
      <c r="D110" t="s">
        <v>123</v>
      </c>
      <c r="E110" s="2">
        <v>44930</v>
      </c>
      <c r="H110" s="1">
        <v>1470</v>
      </c>
      <c r="I110" s="1">
        <v>2100</v>
      </c>
      <c r="J110">
        <v>1</v>
      </c>
      <c r="K110" s="1"/>
      <c r="L110" s="1"/>
      <c r="M110" s="1">
        <f t="shared" si="5"/>
        <v>0</v>
      </c>
      <c r="N110" t="s">
        <v>22</v>
      </c>
      <c r="O110" t="s">
        <v>23</v>
      </c>
      <c r="P110">
        <v>2004</v>
      </c>
      <c r="Q110">
        <v>3004</v>
      </c>
      <c r="R110" t="s">
        <v>34</v>
      </c>
      <c r="S110" t="s">
        <v>29</v>
      </c>
      <c r="T110">
        <v>16</v>
      </c>
      <c r="U110">
        <f t="shared" si="6"/>
        <v>1</v>
      </c>
      <c r="V110">
        <f t="shared" si="7"/>
        <v>2023</v>
      </c>
      <c r="W110">
        <f t="shared" si="8"/>
        <v>2100</v>
      </c>
      <c r="X110">
        <f t="shared" si="9"/>
        <v>105</v>
      </c>
    </row>
    <row r="111" spans="1:24" x14ac:dyDescent="0.25">
      <c r="A111">
        <v>1110</v>
      </c>
      <c r="B111" t="s">
        <v>30</v>
      </c>
      <c r="C111" t="s">
        <v>31</v>
      </c>
      <c r="D111" t="s">
        <v>123</v>
      </c>
      <c r="E111" s="2">
        <v>44930</v>
      </c>
      <c r="H111" s="1">
        <v>1470</v>
      </c>
      <c r="I111" s="1">
        <v>2100</v>
      </c>
      <c r="J111">
        <v>1</v>
      </c>
      <c r="K111" s="1"/>
      <c r="L111" s="1"/>
      <c r="M111" s="1">
        <f t="shared" si="5"/>
        <v>0</v>
      </c>
      <c r="N111" t="s">
        <v>22</v>
      </c>
      <c r="O111" t="s">
        <v>23</v>
      </c>
      <c r="P111">
        <v>2004</v>
      </c>
      <c r="Q111">
        <v>3004</v>
      </c>
      <c r="R111" t="s">
        <v>34</v>
      </c>
      <c r="S111" t="s">
        <v>29</v>
      </c>
      <c r="T111">
        <v>16</v>
      </c>
      <c r="U111">
        <f t="shared" si="6"/>
        <v>1</v>
      </c>
      <c r="V111">
        <f t="shared" si="7"/>
        <v>2023</v>
      </c>
      <c r="W111">
        <f t="shared" si="8"/>
        <v>2100</v>
      </c>
      <c r="X111">
        <f t="shared" si="9"/>
        <v>105</v>
      </c>
    </row>
    <row r="112" spans="1:24" x14ac:dyDescent="0.25">
      <c r="A112">
        <v>1111</v>
      </c>
      <c r="B112" t="s">
        <v>35</v>
      </c>
      <c r="C112" t="s">
        <v>36</v>
      </c>
      <c r="D112" t="s">
        <v>137</v>
      </c>
      <c r="E112" s="2">
        <v>44930</v>
      </c>
      <c r="H112" s="1">
        <v>1365</v>
      </c>
      <c r="I112" s="1">
        <v>2100</v>
      </c>
      <c r="J112">
        <v>1</v>
      </c>
      <c r="K112" s="1"/>
      <c r="L112" s="1"/>
      <c r="M112" s="1">
        <f t="shared" si="5"/>
        <v>0</v>
      </c>
      <c r="N112" t="s">
        <v>22</v>
      </c>
      <c r="O112" t="s">
        <v>23</v>
      </c>
      <c r="P112">
        <v>2064</v>
      </c>
      <c r="Q112">
        <v>3064</v>
      </c>
      <c r="R112" t="s">
        <v>82</v>
      </c>
      <c r="S112" t="s">
        <v>29</v>
      </c>
      <c r="T112">
        <v>20</v>
      </c>
      <c r="U112">
        <f t="shared" si="6"/>
        <v>1</v>
      </c>
      <c r="V112">
        <f t="shared" si="7"/>
        <v>2023</v>
      </c>
      <c r="W112">
        <f t="shared" si="8"/>
        <v>2100</v>
      </c>
      <c r="X112">
        <f t="shared" si="9"/>
        <v>105</v>
      </c>
    </row>
    <row r="113" spans="1:24" x14ac:dyDescent="0.25">
      <c r="A113">
        <v>1112</v>
      </c>
      <c r="B113" t="s">
        <v>35</v>
      </c>
      <c r="C113" t="s">
        <v>36</v>
      </c>
      <c r="D113" t="s">
        <v>37</v>
      </c>
      <c r="E113" s="2">
        <v>44931</v>
      </c>
      <c r="H113" s="1">
        <v>896.99999999999989</v>
      </c>
      <c r="I113" s="1">
        <v>1300</v>
      </c>
      <c r="J113">
        <v>2</v>
      </c>
      <c r="K113" s="1"/>
      <c r="L113" s="1"/>
      <c r="M113" s="1">
        <f t="shared" si="5"/>
        <v>0</v>
      </c>
      <c r="N113" t="s">
        <v>26</v>
      </c>
      <c r="O113" t="s">
        <v>27</v>
      </c>
      <c r="P113">
        <v>2005</v>
      </c>
      <c r="Q113">
        <v>3005</v>
      </c>
      <c r="R113" t="s">
        <v>38</v>
      </c>
      <c r="S113" t="s">
        <v>25</v>
      </c>
      <c r="T113">
        <v>27</v>
      </c>
      <c r="U113">
        <f t="shared" si="6"/>
        <v>1</v>
      </c>
      <c r="V113">
        <f t="shared" si="7"/>
        <v>2023</v>
      </c>
      <c r="W113">
        <f t="shared" si="8"/>
        <v>2600</v>
      </c>
      <c r="X113">
        <f t="shared" si="9"/>
        <v>130</v>
      </c>
    </row>
    <row r="114" spans="1:24" x14ac:dyDescent="0.25">
      <c r="A114">
        <v>1113</v>
      </c>
      <c r="B114" t="s">
        <v>20</v>
      </c>
      <c r="C114" t="s">
        <v>41</v>
      </c>
      <c r="D114" t="s">
        <v>37</v>
      </c>
      <c r="E114" s="2">
        <v>44931</v>
      </c>
      <c r="H114" s="1">
        <v>896.99999999999989</v>
      </c>
      <c r="I114" s="1">
        <v>1300</v>
      </c>
      <c r="J114">
        <v>2</v>
      </c>
      <c r="K114" s="1"/>
      <c r="L114" s="1"/>
      <c r="M114" s="1">
        <f t="shared" si="5"/>
        <v>0</v>
      </c>
      <c r="N114" t="s">
        <v>26</v>
      </c>
      <c r="O114" t="s">
        <v>27</v>
      </c>
      <c r="P114">
        <v>2005</v>
      </c>
      <c r="Q114">
        <v>3005</v>
      </c>
      <c r="R114" t="s">
        <v>38</v>
      </c>
      <c r="S114" t="s">
        <v>25</v>
      </c>
      <c r="T114">
        <v>27</v>
      </c>
      <c r="U114">
        <f t="shared" si="6"/>
        <v>1</v>
      </c>
      <c r="V114">
        <f t="shared" si="7"/>
        <v>2023</v>
      </c>
      <c r="W114">
        <f t="shared" si="8"/>
        <v>2600</v>
      </c>
      <c r="X114">
        <f t="shared" si="9"/>
        <v>130</v>
      </c>
    </row>
    <row r="115" spans="1:24" x14ac:dyDescent="0.25">
      <c r="A115">
        <v>1114</v>
      </c>
      <c r="B115" t="s">
        <v>20</v>
      </c>
      <c r="C115" t="s">
        <v>41</v>
      </c>
      <c r="D115" t="s">
        <v>138</v>
      </c>
      <c r="E115" s="2">
        <v>44931</v>
      </c>
      <c r="H115" s="1">
        <v>1035</v>
      </c>
      <c r="I115" s="1">
        <v>1500</v>
      </c>
      <c r="J115">
        <v>2</v>
      </c>
      <c r="K115" s="1"/>
      <c r="L115" s="1"/>
      <c r="M115" s="1">
        <f t="shared" si="5"/>
        <v>0</v>
      </c>
      <c r="N115" t="s">
        <v>26</v>
      </c>
      <c r="O115" t="s">
        <v>27</v>
      </c>
      <c r="P115">
        <v>2065</v>
      </c>
      <c r="Q115">
        <v>3065</v>
      </c>
      <c r="R115" t="s">
        <v>84</v>
      </c>
      <c r="S115" t="s">
        <v>25</v>
      </c>
      <c r="T115">
        <v>30</v>
      </c>
      <c r="U115">
        <f t="shared" si="6"/>
        <v>1</v>
      </c>
      <c r="V115">
        <f t="shared" si="7"/>
        <v>2023</v>
      </c>
      <c r="W115">
        <f t="shared" si="8"/>
        <v>3000</v>
      </c>
      <c r="X115">
        <f t="shared" si="9"/>
        <v>150</v>
      </c>
    </row>
    <row r="116" spans="1:24" x14ac:dyDescent="0.25">
      <c r="A116">
        <v>1115</v>
      </c>
      <c r="B116" t="s">
        <v>20</v>
      </c>
      <c r="C116" t="s">
        <v>44</v>
      </c>
      <c r="D116" t="s">
        <v>39</v>
      </c>
      <c r="E116" s="2">
        <v>44932</v>
      </c>
      <c r="H116" s="1">
        <v>1104</v>
      </c>
      <c r="I116" s="1">
        <v>1600</v>
      </c>
      <c r="J116">
        <v>1</v>
      </c>
      <c r="K116" s="1"/>
      <c r="L116" s="1"/>
      <c r="M116" s="1">
        <f t="shared" si="5"/>
        <v>0</v>
      </c>
      <c r="N116" t="s">
        <v>22</v>
      </c>
      <c r="O116" t="s">
        <v>23</v>
      </c>
      <c r="P116">
        <v>2006</v>
      </c>
      <c r="Q116">
        <v>3006</v>
      </c>
      <c r="R116" t="s">
        <v>40</v>
      </c>
      <c r="S116" t="s">
        <v>29</v>
      </c>
      <c r="T116">
        <v>24</v>
      </c>
      <c r="U116">
        <f t="shared" si="6"/>
        <v>1</v>
      </c>
      <c r="V116">
        <f t="shared" si="7"/>
        <v>2023</v>
      </c>
      <c r="W116">
        <f t="shared" si="8"/>
        <v>1600</v>
      </c>
      <c r="X116">
        <f t="shared" si="9"/>
        <v>0</v>
      </c>
    </row>
    <row r="117" spans="1:24" x14ac:dyDescent="0.25">
      <c r="A117">
        <v>1116</v>
      </c>
      <c r="B117" t="s">
        <v>20</v>
      </c>
      <c r="C117" t="s">
        <v>44</v>
      </c>
      <c r="D117" t="s">
        <v>39</v>
      </c>
      <c r="E117" s="2">
        <v>44932</v>
      </c>
      <c r="H117" s="1">
        <v>1104</v>
      </c>
      <c r="I117" s="1">
        <v>1600</v>
      </c>
      <c r="J117">
        <v>1</v>
      </c>
      <c r="K117" s="1"/>
      <c r="L117" s="1"/>
      <c r="M117" s="1">
        <f t="shared" si="5"/>
        <v>0</v>
      </c>
      <c r="N117" t="s">
        <v>22</v>
      </c>
      <c r="O117" t="s">
        <v>23</v>
      </c>
      <c r="P117">
        <v>2006</v>
      </c>
      <c r="Q117">
        <v>3006</v>
      </c>
      <c r="R117" t="s">
        <v>40</v>
      </c>
      <c r="S117" t="s">
        <v>29</v>
      </c>
      <c r="T117">
        <v>24</v>
      </c>
      <c r="U117">
        <f t="shared" si="6"/>
        <v>1</v>
      </c>
      <c r="V117">
        <f t="shared" si="7"/>
        <v>2023</v>
      </c>
      <c r="W117">
        <f t="shared" si="8"/>
        <v>1600</v>
      </c>
      <c r="X117">
        <f t="shared" si="9"/>
        <v>0</v>
      </c>
    </row>
    <row r="118" spans="1:24" x14ac:dyDescent="0.25">
      <c r="A118">
        <v>1117</v>
      </c>
      <c r="B118" t="s">
        <v>30</v>
      </c>
      <c r="C118" t="s">
        <v>49</v>
      </c>
      <c r="D118" t="s">
        <v>139</v>
      </c>
      <c r="E118" s="2">
        <v>44932</v>
      </c>
      <c r="H118" s="1">
        <v>1242</v>
      </c>
      <c r="I118" s="1">
        <v>1800</v>
      </c>
      <c r="J118">
        <v>1</v>
      </c>
      <c r="K118" s="1"/>
      <c r="L118" s="1"/>
      <c r="M118" s="1">
        <f t="shared" si="5"/>
        <v>0</v>
      </c>
      <c r="N118" t="s">
        <v>22</v>
      </c>
      <c r="O118" t="s">
        <v>23</v>
      </c>
      <c r="P118">
        <v>2066</v>
      </c>
      <c r="Q118">
        <v>3066</v>
      </c>
      <c r="R118" t="s">
        <v>85</v>
      </c>
      <c r="S118" t="s">
        <v>29</v>
      </c>
      <c r="T118">
        <v>28</v>
      </c>
      <c r="U118">
        <f t="shared" si="6"/>
        <v>1</v>
      </c>
      <c r="V118">
        <f t="shared" si="7"/>
        <v>2023</v>
      </c>
      <c r="W118">
        <f t="shared" si="8"/>
        <v>1800</v>
      </c>
      <c r="X118">
        <f t="shared" si="9"/>
        <v>0</v>
      </c>
    </row>
    <row r="119" spans="1:24" x14ac:dyDescent="0.25">
      <c r="A119">
        <v>1118</v>
      </c>
      <c r="B119" t="s">
        <v>30</v>
      </c>
      <c r="C119" t="s">
        <v>49</v>
      </c>
      <c r="D119" t="s">
        <v>124</v>
      </c>
      <c r="E119" s="2">
        <v>44933</v>
      </c>
      <c r="H119" s="1">
        <v>1496</v>
      </c>
      <c r="I119" s="1">
        <v>2200</v>
      </c>
      <c r="J119">
        <v>2</v>
      </c>
      <c r="K119" s="1"/>
      <c r="L119" s="1"/>
      <c r="M119" s="1">
        <f t="shared" si="5"/>
        <v>0</v>
      </c>
      <c r="N119" t="s">
        <v>26</v>
      </c>
      <c r="O119" t="s">
        <v>23</v>
      </c>
      <c r="P119">
        <v>2007</v>
      </c>
      <c r="Q119">
        <v>3007</v>
      </c>
      <c r="R119" t="s">
        <v>42</v>
      </c>
      <c r="S119" t="s">
        <v>25</v>
      </c>
      <c r="T119">
        <v>29</v>
      </c>
      <c r="U119">
        <f t="shared" si="6"/>
        <v>1</v>
      </c>
      <c r="V119">
        <f t="shared" si="7"/>
        <v>2023</v>
      </c>
      <c r="W119">
        <f t="shared" si="8"/>
        <v>4400</v>
      </c>
      <c r="X119">
        <f t="shared" si="9"/>
        <v>220</v>
      </c>
    </row>
    <row r="120" spans="1:24" x14ac:dyDescent="0.25">
      <c r="A120">
        <v>1119</v>
      </c>
      <c r="B120" t="s">
        <v>35</v>
      </c>
      <c r="C120" t="s">
        <v>54</v>
      </c>
      <c r="D120" t="s">
        <v>124</v>
      </c>
      <c r="E120" s="2">
        <v>44933</v>
      </c>
      <c r="H120" s="1">
        <v>1496</v>
      </c>
      <c r="I120" s="1">
        <v>2200</v>
      </c>
      <c r="J120">
        <v>2</v>
      </c>
      <c r="K120" s="1"/>
      <c r="L120" s="1"/>
      <c r="M120" s="1">
        <f t="shared" si="5"/>
        <v>0</v>
      </c>
      <c r="N120" t="s">
        <v>26</v>
      </c>
      <c r="O120" t="s">
        <v>23</v>
      </c>
      <c r="P120">
        <v>2007</v>
      </c>
      <c r="Q120">
        <v>3007</v>
      </c>
      <c r="R120" t="s">
        <v>42</v>
      </c>
      <c r="S120" t="s">
        <v>25</v>
      </c>
      <c r="T120">
        <v>29</v>
      </c>
      <c r="U120">
        <f t="shared" si="6"/>
        <v>1</v>
      </c>
      <c r="V120">
        <f t="shared" si="7"/>
        <v>2023</v>
      </c>
      <c r="W120">
        <f t="shared" si="8"/>
        <v>4400</v>
      </c>
      <c r="X120">
        <f t="shared" si="9"/>
        <v>220</v>
      </c>
    </row>
    <row r="121" spans="1:24" x14ac:dyDescent="0.25">
      <c r="A121">
        <v>1120</v>
      </c>
      <c r="B121" t="s">
        <v>35</v>
      </c>
      <c r="C121" t="s">
        <v>54</v>
      </c>
      <c r="D121" t="s">
        <v>140</v>
      </c>
      <c r="E121" s="2">
        <v>44933</v>
      </c>
      <c r="H121" s="1">
        <v>2080</v>
      </c>
      <c r="I121" s="1">
        <v>3200</v>
      </c>
      <c r="J121">
        <v>2</v>
      </c>
      <c r="K121" s="1"/>
      <c r="L121" s="1"/>
      <c r="M121" s="1">
        <f t="shared" si="5"/>
        <v>0</v>
      </c>
      <c r="N121" t="s">
        <v>26</v>
      </c>
      <c r="O121" t="s">
        <v>23</v>
      </c>
      <c r="P121">
        <v>2067</v>
      </c>
      <c r="Q121">
        <v>3067</v>
      </c>
      <c r="R121" t="s">
        <v>73</v>
      </c>
      <c r="S121" t="s">
        <v>25</v>
      </c>
      <c r="T121">
        <v>42</v>
      </c>
      <c r="U121">
        <f t="shared" si="6"/>
        <v>1</v>
      </c>
      <c r="V121">
        <f t="shared" si="7"/>
        <v>2023</v>
      </c>
      <c r="W121">
        <f t="shared" si="8"/>
        <v>6400</v>
      </c>
      <c r="X121">
        <f t="shared" si="9"/>
        <v>320</v>
      </c>
    </row>
    <row r="122" spans="1:24" x14ac:dyDescent="0.25">
      <c r="A122">
        <v>1121</v>
      </c>
      <c r="B122" t="s">
        <v>20</v>
      </c>
      <c r="C122" t="s">
        <v>59</v>
      </c>
      <c r="D122" t="s">
        <v>125</v>
      </c>
      <c r="E122" s="2">
        <v>44934</v>
      </c>
      <c r="H122" s="1">
        <v>1700.0000000000002</v>
      </c>
      <c r="I122" s="1">
        <v>2500</v>
      </c>
      <c r="J122">
        <v>1</v>
      </c>
      <c r="K122" s="1"/>
      <c r="L122" s="1"/>
      <c r="M122" s="1">
        <f t="shared" si="5"/>
        <v>0</v>
      </c>
      <c r="N122" t="s">
        <v>22</v>
      </c>
      <c r="O122" t="s">
        <v>27</v>
      </c>
      <c r="P122">
        <v>2008</v>
      </c>
      <c r="Q122">
        <v>3008</v>
      </c>
      <c r="R122" t="s">
        <v>43</v>
      </c>
      <c r="S122" t="s">
        <v>29</v>
      </c>
      <c r="T122">
        <v>27</v>
      </c>
      <c r="U122">
        <f t="shared" si="6"/>
        <v>1</v>
      </c>
      <c r="V122">
        <f t="shared" si="7"/>
        <v>2023</v>
      </c>
      <c r="W122">
        <f t="shared" si="8"/>
        <v>2500</v>
      </c>
      <c r="X122">
        <f t="shared" si="9"/>
        <v>125</v>
      </c>
    </row>
    <row r="123" spans="1:24" x14ac:dyDescent="0.25">
      <c r="A123">
        <v>1122</v>
      </c>
      <c r="B123" t="s">
        <v>20</v>
      </c>
      <c r="C123" t="s">
        <v>59</v>
      </c>
      <c r="D123" t="s">
        <v>125</v>
      </c>
      <c r="E123" s="2">
        <v>44934</v>
      </c>
      <c r="H123" s="1">
        <v>1700.0000000000002</v>
      </c>
      <c r="I123" s="1">
        <v>2500</v>
      </c>
      <c r="J123">
        <v>1</v>
      </c>
      <c r="K123" s="1"/>
      <c r="L123" s="1"/>
      <c r="M123" s="1">
        <f t="shared" si="5"/>
        <v>0</v>
      </c>
      <c r="N123" t="s">
        <v>22</v>
      </c>
      <c r="O123" t="s">
        <v>27</v>
      </c>
      <c r="P123">
        <v>2008</v>
      </c>
      <c r="Q123">
        <v>3008</v>
      </c>
      <c r="R123" t="s">
        <v>43</v>
      </c>
      <c r="S123" t="s">
        <v>29</v>
      </c>
      <c r="T123">
        <v>27</v>
      </c>
      <c r="U123">
        <f t="shared" si="6"/>
        <v>1</v>
      </c>
      <c r="V123">
        <f t="shared" si="7"/>
        <v>2023</v>
      </c>
      <c r="W123">
        <f t="shared" si="8"/>
        <v>2500</v>
      </c>
      <c r="X123">
        <f t="shared" si="9"/>
        <v>125</v>
      </c>
    </row>
    <row r="124" spans="1:24" x14ac:dyDescent="0.25">
      <c r="A124">
        <v>1123</v>
      </c>
      <c r="B124" t="s">
        <v>20</v>
      </c>
      <c r="C124" t="s">
        <v>62</v>
      </c>
      <c r="D124" t="s">
        <v>141</v>
      </c>
      <c r="E124" s="2">
        <v>44934</v>
      </c>
      <c r="H124" s="1">
        <v>2405</v>
      </c>
      <c r="I124" s="1">
        <v>3700</v>
      </c>
      <c r="J124">
        <v>1</v>
      </c>
      <c r="K124" s="1"/>
      <c r="L124" s="1"/>
      <c r="M124" s="1">
        <f t="shared" si="5"/>
        <v>0</v>
      </c>
      <c r="N124" t="s">
        <v>22</v>
      </c>
      <c r="O124" t="s">
        <v>27</v>
      </c>
      <c r="P124">
        <v>2068</v>
      </c>
      <c r="Q124">
        <v>3068</v>
      </c>
      <c r="R124" t="s">
        <v>75</v>
      </c>
      <c r="S124" t="s">
        <v>29</v>
      </c>
      <c r="T124">
        <v>40</v>
      </c>
      <c r="U124">
        <f t="shared" si="6"/>
        <v>1</v>
      </c>
      <c r="V124">
        <f t="shared" si="7"/>
        <v>2023</v>
      </c>
      <c r="W124">
        <f t="shared" si="8"/>
        <v>3700</v>
      </c>
      <c r="X124">
        <f t="shared" si="9"/>
        <v>185</v>
      </c>
    </row>
    <row r="125" spans="1:24" x14ac:dyDescent="0.25">
      <c r="A125">
        <v>1124</v>
      </c>
      <c r="B125" t="s">
        <v>20</v>
      </c>
      <c r="C125" t="s">
        <v>62</v>
      </c>
      <c r="D125" t="s">
        <v>128</v>
      </c>
      <c r="E125" s="2">
        <v>44937</v>
      </c>
      <c r="H125" s="1">
        <v>780</v>
      </c>
      <c r="I125" s="1">
        <v>1300</v>
      </c>
      <c r="J125">
        <v>2</v>
      </c>
      <c r="K125" s="1"/>
      <c r="L125" s="1"/>
      <c r="M125" s="1">
        <f t="shared" si="5"/>
        <v>0</v>
      </c>
      <c r="N125" t="s">
        <v>22</v>
      </c>
      <c r="O125" t="s">
        <v>23</v>
      </c>
      <c r="P125">
        <v>2041</v>
      </c>
      <c r="Q125">
        <v>3041</v>
      </c>
      <c r="R125" t="s">
        <v>63</v>
      </c>
      <c r="S125" t="s">
        <v>25</v>
      </c>
      <c r="T125">
        <v>32</v>
      </c>
      <c r="U125">
        <f t="shared" si="6"/>
        <v>1</v>
      </c>
      <c r="V125">
        <f t="shared" si="7"/>
        <v>2023</v>
      </c>
      <c r="W125">
        <f t="shared" si="8"/>
        <v>2600</v>
      </c>
      <c r="X125">
        <f t="shared" si="9"/>
        <v>130</v>
      </c>
    </row>
    <row r="126" spans="1:24" x14ac:dyDescent="0.25">
      <c r="A126">
        <v>1125</v>
      </c>
      <c r="B126" t="s">
        <v>30</v>
      </c>
      <c r="C126" t="s">
        <v>65</v>
      </c>
      <c r="D126" t="s">
        <v>129</v>
      </c>
      <c r="E126" s="2">
        <v>44938</v>
      </c>
      <c r="H126" s="1">
        <v>960</v>
      </c>
      <c r="I126" s="1">
        <v>1600</v>
      </c>
      <c r="J126">
        <v>1</v>
      </c>
      <c r="K126" s="1"/>
      <c r="L126" s="1"/>
      <c r="M126" s="1">
        <f t="shared" si="5"/>
        <v>0</v>
      </c>
      <c r="N126" t="s">
        <v>26</v>
      </c>
      <c r="O126" t="s">
        <v>27</v>
      </c>
      <c r="P126">
        <v>2042</v>
      </c>
      <c r="Q126">
        <v>3042</v>
      </c>
      <c r="R126" t="s">
        <v>64</v>
      </c>
      <c r="S126" t="s">
        <v>29</v>
      </c>
      <c r="T126">
        <v>29</v>
      </c>
      <c r="U126">
        <f t="shared" si="6"/>
        <v>1</v>
      </c>
      <c r="V126">
        <f t="shared" si="7"/>
        <v>2023</v>
      </c>
      <c r="W126">
        <f t="shared" si="8"/>
        <v>1600</v>
      </c>
      <c r="X126">
        <f t="shared" si="9"/>
        <v>0</v>
      </c>
    </row>
    <row r="127" spans="1:24" x14ac:dyDescent="0.25">
      <c r="A127">
        <v>1126</v>
      </c>
      <c r="B127" t="s">
        <v>30</v>
      </c>
      <c r="C127" t="s">
        <v>65</v>
      </c>
      <c r="D127" t="s">
        <v>130</v>
      </c>
      <c r="E127" s="2">
        <v>44939</v>
      </c>
      <c r="H127" s="1">
        <v>1292</v>
      </c>
      <c r="I127" s="1">
        <v>1900</v>
      </c>
      <c r="J127">
        <v>3</v>
      </c>
      <c r="K127" s="1"/>
      <c r="L127" s="1"/>
      <c r="M127" s="1">
        <f t="shared" si="5"/>
        <v>0</v>
      </c>
      <c r="N127" t="s">
        <v>22</v>
      </c>
      <c r="O127" t="s">
        <v>32</v>
      </c>
      <c r="P127">
        <v>2043</v>
      </c>
      <c r="Q127">
        <v>3043</v>
      </c>
      <c r="R127" t="s">
        <v>66</v>
      </c>
      <c r="S127" t="s">
        <v>25</v>
      </c>
      <c r="T127">
        <v>21</v>
      </c>
      <c r="U127">
        <f t="shared" si="6"/>
        <v>1</v>
      </c>
      <c r="V127">
        <f t="shared" si="7"/>
        <v>2023</v>
      </c>
      <c r="W127">
        <f t="shared" si="8"/>
        <v>5700</v>
      </c>
      <c r="X127">
        <f t="shared" si="9"/>
        <v>285</v>
      </c>
    </row>
    <row r="128" spans="1:24" x14ac:dyDescent="0.25">
      <c r="A128">
        <v>1127</v>
      </c>
      <c r="B128" t="s">
        <v>35</v>
      </c>
      <c r="C128" t="s">
        <v>68</v>
      </c>
      <c r="D128" t="s">
        <v>131</v>
      </c>
      <c r="E128" s="2">
        <v>44940</v>
      </c>
      <c r="H128" s="1">
        <v>1496</v>
      </c>
      <c r="I128" s="1">
        <v>2200</v>
      </c>
      <c r="J128">
        <v>1</v>
      </c>
      <c r="K128" s="1"/>
      <c r="L128" s="1"/>
      <c r="M128" s="1">
        <f t="shared" si="5"/>
        <v>0</v>
      </c>
      <c r="N128" t="s">
        <v>22</v>
      </c>
      <c r="O128" t="s">
        <v>23</v>
      </c>
      <c r="P128">
        <v>2044</v>
      </c>
      <c r="Q128">
        <v>3044</v>
      </c>
      <c r="R128" t="s">
        <v>67</v>
      </c>
      <c r="S128" t="s">
        <v>29</v>
      </c>
      <c r="T128">
        <v>19</v>
      </c>
      <c r="U128">
        <f t="shared" si="6"/>
        <v>1</v>
      </c>
      <c r="V128">
        <f t="shared" si="7"/>
        <v>2023</v>
      </c>
      <c r="W128">
        <f t="shared" si="8"/>
        <v>2200</v>
      </c>
      <c r="X128">
        <f t="shared" si="9"/>
        <v>110</v>
      </c>
    </row>
    <row r="129" spans="1:24" x14ac:dyDescent="0.25">
      <c r="A129">
        <v>1128</v>
      </c>
      <c r="B129" t="s">
        <v>35</v>
      </c>
      <c r="C129" t="s">
        <v>68</v>
      </c>
      <c r="D129" t="s">
        <v>132</v>
      </c>
      <c r="E129" s="2">
        <v>44941</v>
      </c>
      <c r="H129" s="1">
        <v>1340</v>
      </c>
      <c r="I129" s="1">
        <v>2000</v>
      </c>
      <c r="J129">
        <v>2</v>
      </c>
      <c r="K129" s="1"/>
      <c r="L129" s="1"/>
      <c r="M129" s="1">
        <f t="shared" si="5"/>
        <v>0</v>
      </c>
      <c r="N129" t="s">
        <v>26</v>
      </c>
      <c r="O129" t="s">
        <v>27</v>
      </c>
      <c r="P129">
        <v>2045</v>
      </c>
      <c r="Q129">
        <v>3045</v>
      </c>
      <c r="R129" t="s">
        <v>69</v>
      </c>
      <c r="S129" t="s">
        <v>25</v>
      </c>
      <c r="T129">
        <v>36</v>
      </c>
      <c r="U129">
        <f t="shared" si="6"/>
        <v>1</v>
      </c>
      <c r="V129">
        <f t="shared" si="7"/>
        <v>2023</v>
      </c>
      <c r="W129">
        <f t="shared" si="8"/>
        <v>4000</v>
      </c>
      <c r="X129">
        <f t="shared" si="9"/>
        <v>200</v>
      </c>
    </row>
    <row r="130" spans="1:24" x14ac:dyDescent="0.25">
      <c r="A130">
        <v>1129</v>
      </c>
      <c r="B130" t="s">
        <v>20</v>
      </c>
      <c r="C130" t="s">
        <v>71</v>
      </c>
      <c r="D130" t="s">
        <v>133</v>
      </c>
      <c r="E130" s="2">
        <v>44942</v>
      </c>
      <c r="H130" s="1">
        <v>1541</v>
      </c>
      <c r="I130" s="1">
        <v>2300</v>
      </c>
      <c r="J130">
        <v>1</v>
      </c>
      <c r="K130" s="1"/>
      <c r="L130" s="1"/>
      <c r="M130" s="1">
        <f t="shared" ref="M130:M193" si="10">K130+L130</f>
        <v>0</v>
      </c>
      <c r="N130" t="s">
        <v>22</v>
      </c>
      <c r="O130" t="s">
        <v>23</v>
      </c>
      <c r="P130">
        <v>2046</v>
      </c>
      <c r="Q130">
        <v>3046</v>
      </c>
      <c r="R130" t="s">
        <v>70</v>
      </c>
      <c r="S130" t="s">
        <v>29</v>
      </c>
      <c r="T130">
        <v>34</v>
      </c>
      <c r="U130">
        <f t="shared" si="6"/>
        <v>1</v>
      </c>
      <c r="V130">
        <f t="shared" si="7"/>
        <v>2023</v>
      </c>
      <c r="W130">
        <f t="shared" si="8"/>
        <v>2300</v>
      </c>
      <c r="X130">
        <f t="shared" si="9"/>
        <v>115</v>
      </c>
    </row>
    <row r="131" spans="1:24" x14ac:dyDescent="0.25">
      <c r="A131">
        <v>1130</v>
      </c>
      <c r="B131" t="s">
        <v>20</v>
      </c>
      <c r="C131" t="s">
        <v>71</v>
      </c>
      <c r="D131" t="s">
        <v>72</v>
      </c>
      <c r="E131" s="2">
        <v>44943</v>
      </c>
      <c r="H131" s="1">
        <v>2250</v>
      </c>
      <c r="I131" s="1">
        <v>3000</v>
      </c>
      <c r="J131">
        <v>2</v>
      </c>
      <c r="K131" s="1"/>
      <c r="L131" s="1"/>
      <c r="M131" s="1">
        <f t="shared" si="10"/>
        <v>0</v>
      </c>
      <c r="N131" t="s">
        <v>26</v>
      </c>
      <c r="O131" t="s">
        <v>23</v>
      </c>
      <c r="P131">
        <v>2047</v>
      </c>
      <c r="Q131">
        <v>3047</v>
      </c>
      <c r="R131" t="s">
        <v>73</v>
      </c>
      <c r="S131" t="s">
        <v>25</v>
      </c>
      <c r="T131">
        <v>40</v>
      </c>
      <c r="U131">
        <f t="shared" ref="U131:U194" si="11">MONTH(E131)</f>
        <v>1</v>
      </c>
      <c r="V131">
        <f t="shared" ref="V131:V194" si="12">YEAR(E131)</f>
        <v>2023</v>
      </c>
      <c r="W131">
        <f t="shared" ref="W131:W194" si="13">I131 * J131</f>
        <v>6000</v>
      </c>
      <c r="X131">
        <f t="shared" ref="X131:X194" si="14">IF(W131&gt;2000,W131*0.05,0)</f>
        <v>300</v>
      </c>
    </row>
    <row r="132" spans="1:24" x14ac:dyDescent="0.25">
      <c r="A132">
        <v>1131</v>
      </c>
      <c r="B132" t="s">
        <v>76</v>
      </c>
      <c r="C132" t="s">
        <v>77</v>
      </c>
      <c r="D132" t="s">
        <v>74</v>
      </c>
      <c r="E132" s="2">
        <v>44944</v>
      </c>
      <c r="H132" s="1">
        <v>2625</v>
      </c>
      <c r="I132" s="1">
        <v>3500</v>
      </c>
      <c r="J132">
        <v>1</v>
      </c>
      <c r="K132" s="1"/>
      <c r="L132" s="1"/>
      <c r="M132" s="1">
        <f t="shared" si="10"/>
        <v>0</v>
      </c>
      <c r="N132" t="s">
        <v>22</v>
      </c>
      <c r="O132" t="s">
        <v>27</v>
      </c>
      <c r="P132">
        <v>2048</v>
      </c>
      <c r="Q132">
        <v>3048</v>
      </c>
      <c r="R132" t="s">
        <v>75</v>
      </c>
      <c r="S132" t="s">
        <v>29</v>
      </c>
      <c r="T132">
        <v>38</v>
      </c>
      <c r="U132">
        <f t="shared" si="11"/>
        <v>1</v>
      </c>
      <c r="V132">
        <f t="shared" si="12"/>
        <v>2023</v>
      </c>
      <c r="W132">
        <f t="shared" si="13"/>
        <v>3500</v>
      </c>
      <c r="X132">
        <f t="shared" si="14"/>
        <v>175</v>
      </c>
    </row>
    <row r="133" spans="1:24" x14ac:dyDescent="0.25">
      <c r="A133">
        <v>1132</v>
      </c>
      <c r="B133" t="s">
        <v>76</v>
      </c>
      <c r="C133" t="s">
        <v>77</v>
      </c>
      <c r="D133" t="s">
        <v>45</v>
      </c>
      <c r="E133" s="2">
        <v>44947</v>
      </c>
      <c r="H133" s="1">
        <v>737</v>
      </c>
      <c r="I133" s="1">
        <v>1100</v>
      </c>
      <c r="J133">
        <v>2</v>
      </c>
      <c r="K133" s="1"/>
      <c r="L133" s="1"/>
      <c r="M133" s="1">
        <f t="shared" si="10"/>
        <v>0</v>
      </c>
      <c r="N133" t="s">
        <v>22</v>
      </c>
      <c r="O133" t="s">
        <v>23</v>
      </c>
      <c r="P133">
        <v>2021</v>
      </c>
      <c r="Q133">
        <v>3021</v>
      </c>
      <c r="R133" t="s">
        <v>46</v>
      </c>
      <c r="S133" t="s">
        <v>25</v>
      </c>
      <c r="T133">
        <v>24</v>
      </c>
      <c r="U133">
        <f t="shared" si="11"/>
        <v>1</v>
      </c>
      <c r="V133">
        <f t="shared" si="12"/>
        <v>2023</v>
      </c>
      <c r="W133">
        <f t="shared" si="13"/>
        <v>2200</v>
      </c>
      <c r="X133">
        <f t="shared" si="14"/>
        <v>110</v>
      </c>
    </row>
    <row r="134" spans="1:24" x14ac:dyDescent="0.25">
      <c r="A134">
        <v>1133</v>
      </c>
      <c r="B134" t="s">
        <v>30</v>
      </c>
      <c r="C134" t="s">
        <v>80</v>
      </c>
      <c r="D134" t="s">
        <v>45</v>
      </c>
      <c r="E134" s="2">
        <v>44947</v>
      </c>
      <c r="H134" s="1">
        <v>737</v>
      </c>
      <c r="I134" s="1">
        <v>1100</v>
      </c>
      <c r="J134">
        <v>2</v>
      </c>
      <c r="K134" s="1"/>
      <c r="L134" s="1"/>
      <c r="M134" s="1">
        <f t="shared" si="10"/>
        <v>0</v>
      </c>
      <c r="N134" t="s">
        <v>22</v>
      </c>
      <c r="O134" t="s">
        <v>23</v>
      </c>
      <c r="P134">
        <v>2021</v>
      </c>
      <c r="Q134">
        <v>3021</v>
      </c>
      <c r="R134" t="s">
        <v>46</v>
      </c>
      <c r="S134" t="s">
        <v>25</v>
      </c>
      <c r="T134">
        <v>24</v>
      </c>
      <c r="U134">
        <f t="shared" si="11"/>
        <v>1</v>
      </c>
      <c r="V134">
        <f t="shared" si="12"/>
        <v>2023</v>
      </c>
      <c r="W134">
        <f t="shared" si="13"/>
        <v>2200</v>
      </c>
      <c r="X134">
        <f t="shared" si="14"/>
        <v>110</v>
      </c>
    </row>
    <row r="135" spans="1:24" x14ac:dyDescent="0.25">
      <c r="A135">
        <v>1134</v>
      </c>
      <c r="B135" t="s">
        <v>30</v>
      </c>
      <c r="C135" t="s">
        <v>80</v>
      </c>
      <c r="D135" t="s">
        <v>47</v>
      </c>
      <c r="E135" s="2">
        <v>44948</v>
      </c>
      <c r="H135" s="1">
        <v>938</v>
      </c>
      <c r="I135" s="1">
        <v>1400</v>
      </c>
      <c r="J135">
        <v>1</v>
      </c>
      <c r="K135" s="1"/>
      <c r="L135" s="1"/>
      <c r="M135" s="1">
        <f t="shared" si="10"/>
        <v>0</v>
      </c>
      <c r="N135" t="s">
        <v>26</v>
      </c>
      <c r="O135" t="s">
        <v>27</v>
      </c>
      <c r="P135">
        <v>2022</v>
      </c>
      <c r="Q135">
        <v>3022</v>
      </c>
      <c r="R135" t="s">
        <v>48</v>
      </c>
      <c r="S135" t="s">
        <v>29</v>
      </c>
      <c r="T135">
        <v>21</v>
      </c>
      <c r="U135">
        <f t="shared" si="11"/>
        <v>1</v>
      </c>
      <c r="V135">
        <f t="shared" si="12"/>
        <v>2023</v>
      </c>
      <c r="W135">
        <f t="shared" si="13"/>
        <v>1400</v>
      </c>
      <c r="X135">
        <f t="shared" si="14"/>
        <v>0</v>
      </c>
    </row>
    <row r="136" spans="1:24" x14ac:dyDescent="0.25">
      <c r="A136">
        <v>1135</v>
      </c>
      <c r="B136" t="s">
        <v>35</v>
      </c>
      <c r="C136" t="s">
        <v>83</v>
      </c>
      <c r="D136" t="s">
        <v>47</v>
      </c>
      <c r="E136" s="2">
        <v>44948</v>
      </c>
      <c r="H136" s="1">
        <v>938</v>
      </c>
      <c r="I136" s="1">
        <v>1400</v>
      </c>
      <c r="J136">
        <v>1</v>
      </c>
      <c r="K136" s="1"/>
      <c r="L136" s="1"/>
      <c r="M136" s="1">
        <f t="shared" si="10"/>
        <v>0</v>
      </c>
      <c r="N136" t="s">
        <v>26</v>
      </c>
      <c r="O136" t="s">
        <v>27</v>
      </c>
      <c r="P136">
        <v>2022</v>
      </c>
      <c r="Q136">
        <v>3022</v>
      </c>
      <c r="R136" t="s">
        <v>48</v>
      </c>
      <c r="S136" t="s">
        <v>29</v>
      </c>
      <c r="T136">
        <v>21</v>
      </c>
      <c r="U136">
        <f t="shared" si="11"/>
        <v>1</v>
      </c>
      <c r="V136">
        <f t="shared" si="12"/>
        <v>2023</v>
      </c>
      <c r="W136">
        <f t="shared" si="13"/>
        <v>1400</v>
      </c>
      <c r="X136">
        <f t="shared" si="14"/>
        <v>0</v>
      </c>
    </row>
    <row r="137" spans="1:24" x14ac:dyDescent="0.25">
      <c r="A137">
        <v>1136</v>
      </c>
      <c r="B137" t="s">
        <v>35</v>
      </c>
      <c r="C137" t="s">
        <v>83</v>
      </c>
      <c r="D137" t="s">
        <v>50</v>
      </c>
      <c r="E137" s="2">
        <v>44949</v>
      </c>
      <c r="H137" s="1">
        <v>1190</v>
      </c>
      <c r="I137" s="1">
        <v>1700</v>
      </c>
      <c r="J137">
        <v>3</v>
      </c>
      <c r="K137" s="1"/>
      <c r="L137" s="1"/>
      <c r="M137" s="1">
        <f t="shared" si="10"/>
        <v>0</v>
      </c>
      <c r="N137" t="s">
        <v>22</v>
      </c>
      <c r="O137" t="s">
        <v>32</v>
      </c>
      <c r="P137">
        <v>2023</v>
      </c>
      <c r="Q137">
        <v>3023</v>
      </c>
      <c r="R137" t="s">
        <v>51</v>
      </c>
      <c r="S137" t="s">
        <v>25</v>
      </c>
      <c r="T137">
        <v>20</v>
      </c>
      <c r="U137">
        <f t="shared" si="11"/>
        <v>1</v>
      </c>
      <c r="V137">
        <f t="shared" si="12"/>
        <v>2023</v>
      </c>
      <c r="W137">
        <f t="shared" si="13"/>
        <v>5100</v>
      </c>
      <c r="X137">
        <f t="shared" si="14"/>
        <v>255</v>
      </c>
    </row>
    <row r="138" spans="1:24" x14ac:dyDescent="0.25">
      <c r="A138">
        <v>1137</v>
      </c>
      <c r="B138" t="s">
        <v>76</v>
      </c>
      <c r="C138" t="s">
        <v>86</v>
      </c>
      <c r="D138" t="s">
        <v>50</v>
      </c>
      <c r="E138" s="2">
        <v>44949</v>
      </c>
      <c r="H138" s="1">
        <v>1190</v>
      </c>
      <c r="I138" s="1">
        <v>1700</v>
      </c>
      <c r="J138">
        <v>3</v>
      </c>
      <c r="K138" s="1"/>
      <c r="L138" s="1"/>
      <c r="M138" s="1">
        <f t="shared" si="10"/>
        <v>0</v>
      </c>
      <c r="N138" t="s">
        <v>22</v>
      </c>
      <c r="O138" t="s">
        <v>32</v>
      </c>
      <c r="P138">
        <v>2023</v>
      </c>
      <c r="Q138">
        <v>3023</v>
      </c>
      <c r="R138" t="s">
        <v>51</v>
      </c>
      <c r="S138" t="s">
        <v>25</v>
      </c>
      <c r="T138">
        <v>20</v>
      </c>
      <c r="U138">
        <f t="shared" si="11"/>
        <v>1</v>
      </c>
      <c r="V138">
        <f t="shared" si="12"/>
        <v>2023</v>
      </c>
      <c r="W138">
        <f t="shared" si="13"/>
        <v>5100</v>
      </c>
      <c r="X138">
        <f t="shared" si="14"/>
        <v>255</v>
      </c>
    </row>
    <row r="139" spans="1:24" x14ac:dyDescent="0.25">
      <c r="A139">
        <v>1138</v>
      </c>
      <c r="B139" t="s">
        <v>76</v>
      </c>
      <c r="C139" t="s">
        <v>86</v>
      </c>
      <c r="D139" t="s">
        <v>52</v>
      </c>
      <c r="E139" s="2">
        <v>44950</v>
      </c>
      <c r="H139" s="1">
        <v>1400</v>
      </c>
      <c r="I139" s="1">
        <v>2000</v>
      </c>
      <c r="J139">
        <v>1</v>
      </c>
      <c r="K139" s="1"/>
      <c r="L139" s="1"/>
      <c r="M139" s="1">
        <f t="shared" si="10"/>
        <v>0</v>
      </c>
      <c r="N139" t="s">
        <v>22</v>
      </c>
      <c r="O139" t="s">
        <v>23</v>
      </c>
      <c r="P139">
        <v>2024</v>
      </c>
      <c r="Q139">
        <v>3024</v>
      </c>
      <c r="R139" t="s">
        <v>53</v>
      </c>
      <c r="S139" t="s">
        <v>29</v>
      </c>
      <c r="T139">
        <v>18</v>
      </c>
      <c r="U139">
        <f t="shared" si="11"/>
        <v>1</v>
      </c>
      <c r="V139">
        <f t="shared" si="12"/>
        <v>2023</v>
      </c>
      <c r="W139">
        <f t="shared" si="13"/>
        <v>2000</v>
      </c>
      <c r="X139">
        <f t="shared" si="14"/>
        <v>0</v>
      </c>
    </row>
    <row r="140" spans="1:24" x14ac:dyDescent="0.25">
      <c r="A140">
        <v>1139</v>
      </c>
      <c r="B140" t="s">
        <v>87</v>
      </c>
      <c r="C140" t="s">
        <v>88</v>
      </c>
      <c r="D140" t="s">
        <v>52</v>
      </c>
      <c r="E140" s="2">
        <v>44950</v>
      </c>
      <c r="H140" s="1">
        <v>1400</v>
      </c>
      <c r="I140" s="1">
        <v>2000</v>
      </c>
      <c r="J140">
        <v>1</v>
      </c>
      <c r="K140" s="1"/>
      <c r="L140" s="1"/>
      <c r="M140" s="1">
        <f t="shared" si="10"/>
        <v>0</v>
      </c>
      <c r="N140" t="s">
        <v>22</v>
      </c>
      <c r="O140" t="s">
        <v>23</v>
      </c>
      <c r="P140">
        <v>2024</v>
      </c>
      <c r="Q140">
        <v>3024</v>
      </c>
      <c r="R140" t="s">
        <v>53</v>
      </c>
      <c r="S140" t="s">
        <v>29</v>
      </c>
      <c r="T140">
        <v>18</v>
      </c>
      <c r="U140">
        <f t="shared" si="11"/>
        <v>1</v>
      </c>
      <c r="V140">
        <f t="shared" si="12"/>
        <v>2023</v>
      </c>
      <c r="W140">
        <f t="shared" si="13"/>
        <v>2000</v>
      </c>
      <c r="X140">
        <f t="shared" si="14"/>
        <v>0</v>
      </c>
    </row>
    <row r="141" spans="1:24" x14ac:dyDescent="0.25">
      <c r="A141">
        <v>1140</v>
      </c>
      <c r="B141" t="s">
        <v>87</v>
      </c>
      <c r="C141" t="s">
        <v>88</v>
      </c>
      <c r="D141" t="s">
        <v>55</v>
      </c>
      <c r="E141" s="2">
        <v>44951</v>
      </c>
      <c r="H141" s="1">
        <v>975</v>
      </c>
      <c r="I141" s="1">
        <v>1500</v>
      </c>
      <c r="J141">
        <v>2</v>
      </c>
      <c r="K141" s="1"/>
      <c r="L141" s="1"/>
      <c r="M141" s="1">
        <f t="shared" si="10"/>
        <v>0</v>
      </c>
      <c r="N141" t="s">
        <v>26</v>
      </c>
      <c r="O141" t="s">
        <v>27</v>
      </c>
      <c r="P141">
        <v>2025</v>
      </c>
      <c r="Q141">
        <v>3025</v>
      </c>
      <c r="R141" t="s">
        <v>56</v>
      </c>
      <c r="S141" t="s">
        <v>25</v>
      </c>
      <c r="T141">
        <v>28</v>
      </c>
      <c r="U141">
        <f t="shared" si="11"/>
        <v>1</v>
      </c>
      <c r="V141">
        <f t="shared" si="12"/>
        <v>2023</v>
      </c>
      <c r="W141">
        <f t="shared" si="13"/>
        <v>3000</v>
      </c>
      <c r="X141">
        <f t="shared" si="14"/>
        <v>150</v>
      </c>
    </row>
    <row r="142" spans="1:24" x14ac:dyDescent="0.25">
      <c r="A142">
        <v>1141</v>
      </c>
      <c r="B142" t="s">
        <v>30</v>
      </c>
      <c r="C142" t="s">
        <v>91</v>
      </c>
      <c r="D142" t="s">
        <v>55</v>
      </c>
      <c r="E142" s="2">
        <v>44951</v>
      </c>
      <c r="H142" s="1">
        <v>975</v>
      </c>
      <c r="I142" s="1">
        <v>1500</v>
      </c>
      <c r="J142">
        <v>2</v>
      </c>
      <c r="K142" s="1"/>
      <c r="L142" s="1"/>
      <c r="M142" s="1">
        <f t="shared" si="10"/>
        <v>0</v>
      </c>
      <c r="N142" t="s">
        <v>26</v>
      </c>
      <c r="O142" t="s">
        <v>27</v>
      </c>
      <c r="P142">
        <v>2025</v>
      </c>
      <c r="Q142">
        <v>3025</v>
      </c>
      <c r="R142" t="s">
        <v>56</v>
      </c>
      <c r="S142" t="s">
        <v>25</v>
      </c>
      <c r="T142">
        <v>28</v>
      </c>
      <c r="U142">
        <f t="shared" si="11"/>
        <v>1</v>
      </c>
      <c r="V142">
        <f t="shared" si="12"/>
        <v>2023</v>
      </c>
      <c r="W142">
        <f t="shared" si="13"/>
        <v>3000</v>
      </c>
      <c r="X142">
        <f t="shared" si="14"/>
        <v>150</v>
      </c>
    </row>
    <row r="143" spans="1:24" x14ac:dyDescent="0.25">
      <c r="A143">
        <v>1142</v>
      </c>
      <c r="B143" t="s">
        <v>30</v>
      </c>
      <c r="C143" t="s">
        <v>91</v>
      </c>
      <c r="D143" t="s">
        <v>57</v>
      </c>
      <c r="E143" s="2">
        <v>44952</v>
      </c>
      <c r="H143" s="1">
        <v>1170</v>
      </c>
      <c r="I143" s="1">
        <v>1800</v>
      </c>
      <c r="J143">
        <v>1</v>
      </c>
      <c r="K143" s="1"/>
      <c r="L143" s="1"/>
      <c r="M143" s="1">
        <f t="shared" si="10"/>
        <v>0</v>
      </c>
      <c r="N143" t="s">
        <v>22</v>
      </c>
      <c r="O143" t="s">
        <v>23</v>
      </c>
      <c r="P143">
        <v>2026</v>
      </c>
      <c r="Q143">
        <v>3026</v>
      </c>
      <c r="R143" t="s">
        <v>58</v>
      </c>
      <c r="S143" t="s">
        <v>29</v>
      </c>
      <c r="T143">
        <v>26</v>
      </c>
      <c r="U143">
        <f t="shared" si="11"/>
        <v>1</v>
      </c>
      <c r="V143">
        <f t="shared" si="12"/>
        <v>2023</v>
      </c>
      <c r="W143">
        <f t="shared" si="13"/>
        <v>1800</v>
      </c>
      <c r="X143">
        <f t="shared" si="14"/>
        <v>0</v>
      </c>
    </row>
    <row r="144" spans="1:24" x14ac:dyDescent="0.25">
      <c r="A144">
        <v>1143</v>
      </c>
      <c r="B144" t="s">
        <v>35</v>
      </c>
      <c r="C144" t="s">
        <v>94</v>
      </c>
      <c r="D144" t="s">
        <v>57</v>
      </c>
      <c r="E144" s="2">
        <v>44952</v>
      </c>
      <c r="H144" s="1">
        <v>1170</v>
      </c>
      <c r="I144" s="1">
        <v>1800</v>
      </c>
      <c r="J144">
        <v>1</v>
      </c>
      <c r="K144" s="1"/>
      <c r="L144" s="1"/>
      <c r="M144" s="1">
        <f t="shared" si="10"/>
        <v>0</v>
      </c>
      <c r="N144" t="s">
        <v>22</v>
      </c>
      <c r="O144" t="s">
        <v>23</v>
      </c>
      <c r="P144">
        <v>2026</v>
      </c>
      <c r="Q144">
        <v>3026</v>
      </c>
      <c r="R144" t="s">
        <v>58</v>
      </c>
      <c r="S144" t="s">
        <v>29</v>
      </c>
      <c r="T144">
        <v>26</v>
      </c>
      <c r="U144">
        <f t="shared" si="11"/>
        <v>1</v>
      </c>
      <c r="V144">
        <f t="shared" si="12"/>
        <v>2023</v>
      </c>
      <c r="W144">
        <f t="shared" si="13"/>
        <v>1800</v>
      </c>
      <c r="X144">
        <f t="shared" si="14"/>
        <v>0</v>
      </c>
    </row>
    <row r="145" spans="1:24" x14ac:dyDescent="0.25">
      <c r="A145">
        <v>1144</v>
      </c>
      <c r="B145" t="s">
        <v>35</v>
      </c>
      <c r="C145" t="s">
        <v>94</v>
      </c>
      <c r="D145" t="s">
        <v>126</v>
      </c>
      <c r="E145" s="2">
        <v>44953</v>
      </c>
      <c r="H145" s="1">
        <v>1656</v>
      </c>
      <c r="I145" s="1">
        <v>2300</v>
      </c>
      <c r="J145">
        <v>2</v>
      </c>
      <c r="K145" s="1"/>
      <c r="L145" s="1"/>
      <c r="M145" s="1">
        <f t="shared" si="10"/>
        <v>0</v>
      </c>
      <c r="N145" t="s">
        <v>26</v>
      </c>
      <c r="O145" t="s">
        <v>23</v>
      </c>
      <c r="P145">
        <v>2027</v>
      </c>
      <c r="Q145">
        <v>3027</v>
      </c>
      <c r="R145" t="s">
        <v>60</v>
      </c>
      <c r="S145" t="s">
        <v>25</v>
      </c>
      <c r="T145">
        <v>30</v>
      </c>
      <c r="U145">
        <f t="shared" si="11"/>
        <v>1</v>
      </c>
      <c r="V145">
        <f t="shared" si="12"/>
        <v>2023</v>
      </c>
      <c r="W145">
        <f t="shared" si="13"/>
        <v>4600</v>
      </c>
      <c r="X145">
        <f t="shared" si="14"/>
        <v>230</v>
      </c>
    </row>
    <row r="146" spans="1:24" x14ac:dyDescent="0.25">
      <c r="A146">
        <v>1145</v>
      </c>
      <c r="B146" t="s">
        <v>20</v>
      </c>
      <c r="C146" t="s">
        <v>41</v>
      </c>
      <c r="D146" t="s">
        <v>126</v>
      </c>
      <c r="E146" s="2">
        <v>44953</v>
      </c>
      <c r="H146" s="1">
        <v>1656</v>
      </c>
      <c r="I146" s="1">
        <v>2300</v>
      </c>
      <c r="J146">
        <v>2</v>
      </c>
      <c r="K146" s="1"/>
      <c r="L146" s="1"/>
      <c r="M146" s="1">
        <f t="shared" si="10"/>
        <v>0</v>
      </c>
      <c r="N146" t="s">
        <v>26</v>
      </c>
      <c r="O146" t="s">
        <v>23</v>
      </c>
      <c r="P146">
        <v>2027</v>
      </c>
      <c r="Q146">
        <v>3027</v>
      </c>
      <c r="R146" t="s">
        <v>60</v>
      </c>
      <c r="S146" t="s">
        <v>25</v>
      </c>
      <c r="T146">
        <v>30</v>
      </c>
      <c r="U146">
        <f t="shared" si="11"/>
        <v>1</v>
      </c>
      <c r="V146">
        <f t="shared" si="12"/>
        <v>2023</v>
      </c>
      <c r="W146">
        <f t="shared" si="13"/>
        <v>4600</v>
      </c>
      <c r="X146">
        <f t="shared" si="14"/>
        <v>230</v>
      </c>
    </row>
    <row r="147" spans="1:24" x14ac:dyDescent="0.25">
      <c r="A147">
        <v>1146</v>
      </c>
      <c r="B147" t="s">
        <v>20</v>
      </c>
      <c r="C147" t="s">
        <v>44</v>
      </c>
      <c r="D147" t="s">
        <v>127</v>
      </c>
      <c r="E147" s="2">
        <v>44954</v>
      </c>
      <c r="H147" s="1">
        <v>1872</v>
      </c>
      <c r="I147" s="1">
        <v>2600</v>
      </c>
      <c r="J147">
        <v>1</v>
      </c>
      <c r="K147" s="1"/>
      <c r="L147" s="1"/>
      <c r="M147" s="1">
        <f t="shared" si="10"/>
        <v>0</v>
      </c>
      <c r="N147" t="s">
        <v>22</v>
      </c>
      <c r="O147" t="s">
        <v>27</v>
      </c>
      <c r="P147">
        <v>2028</v>
      </c>
      <c r="Q147">
        <v>3028</v>
      </c>
      <c r="R147" t="s">
        <v>61</v>
      </c>
      <c r="S147" t="s">
        <v>29</v>
      </c>
      <c r="T147">
        <v>28</v>
      </c>
      <c r="U147">
        <f t="shared" si="11"/>
        <v>1</v>
      </c>
      <c r="V147">
        <f t="shared" si="12"/>
        <v>2023</v>
      </c>
      <c r="W147">
        <f t="shared" si="13"/>
        <v>2600</v>
      </c>
      <c r="X147">
        <f t="shared" si="14"/>
        <v>130</v>
      </c>
    </row>
    <row r="148" spans="1:24" x14ac:dyDescent="0.25">
      <c r="A148">
        <v>1147</v>
      </c>
      <c r="B148" t="s">
        <v>30</v>
      </c>
      <c r="C148" t="s">
        <v>49</v>
      </c>
      <c r="D148" t="s">
        <v>127</v>
      </c>
      <c r="E148" s="2">
        <v>44954</v>
      </c>
      <c r="H148" s="1">
        <v>1872</v>
      </c>
      <c r="I148" s="1">
        <v>2600</v>
      </c>
      <c r="J148">
        <v>1</v>
      </c>
      <c r="K148" s="1"/>
      <c r="L148" s="1"/>
      <c r="M148" s="1">
        <f t="shared" si="10"/>
        <v>0</v>
      </c>
      <c r="N148" t="s">
        <v>22</v>
      </c>
      <c r="O148" t="s">
        <v>27</v>
      </c>
      <c r="P148">
        <v>2028</v>
      </c>
      <c r="Q148">
        <v>3028</v>
      </c>
      <c r="R148" t="s">
        <v>61</v>
      </c>
      <c r="S148" t="s">
        <v>29</v>
      </c>
      <c r="T148">
        <v>28</v>
      </c>
      <c r="U148">
        <f t="shared" si="11"/>
        <v>1</v>
      </c>
      <c r="V148">
        <f t="shared" si="12"/>
        <v>2023</v>
      </c>
      <c r="W148">
        <f t="shared" si="13"/>
        <v>2600</v>
      </c>
      <c r="X148">
        <f t="shared" si="14"/>
        <v>130</v>
      </c>
    </row>
    <row r="149" spans="1:24" x14ac:dyDescent="0.25">
      <c r="A149">
        <v>1148</v>
      </c>
      <c r="B149" t="s">
        <v>30</v>
      </c>
      <c r="C149" t="s">
        <v>49</v>
      </c>
      <c r="D149" t="s">
        <v>150</v>
      </c>
      <c r="E149" s="2">
        <v>44958</v>
      </c>
      <c r="H149" s="1">
        <v>90</v>
      </c>
      <c r="I149" s="1">
        <v>150</v>
      </c>
      <c r="J149">
        <v>2</v>
      </c>
      <c r="K149" s="1"/>
      <c r="L149" s="1"/>
      <c r="M149" s="1">
        <f t="shared" si="10"/>
        <v>0</v>
      </c>
      <c r="N149" t="s">
        <v>22</v>
      </c>
      <c r="O149" t="s">
        <v>23</v>
      </c>
      <c r="P149">
        <v>2101</v>
      </c>
      <c r="Q149">
        <v>3101</v>
      </c>
      <c r="R149" t="s">
        <v>101</v>
      </c>
      <c r="S149" t="s">
        <v>25</v>
      </c>
      <c r="T149">
        <v>10</v>
      </c>
      <c r="U149">
        <f t="shared" si="11"/>
        <v>2</v>
      </c>
      <c r="V149">
        <f t="shared" si="12"/>
        <v>2023</v>
      </c>
      <c r="W149">
        <f t="shared" si="13"/>
        <v>300</v>
      </c>
      <c r="X149">
        <f t="shared" si="14"/>
        <v>0</v>
      </c>
    </row>
    <row r="150" spans="1:24" x14ac:dyDescent="0.25">
      <c r="A150">
        <v>1149</v>
      </c>
      <c r="B150" t="s">
        <v>35</v>
      </c>
      <c r="C150" t="s">
        <v>54</v>
      </c>
      <c r="D150" t="s">
        <v>120</v>
      </c>
      <c r="E150" s="2">
        <v>44958</v>
      </c>
      <c r="H150" s="1">
        <v>840</v>
      </c>
      <c r="I150" s="1">
        <v>1200</v>
      </c>
      <c r="J150">
        <v>2</v>
      </c>
      <c r="K150" s="1"/>
      <c r="L150" s="1"/>
      <c r="M150" s="1">
        <f t="shared" si="10"/>
        <v>0</v>
      </c>
      <c r="N150" t="s">
        <v>22</v>
      </c>
      <c r="O150" t="s">
        <v>23</v>
      </c>
      <c r="P150">
        <v>2001</v>
      </c>
      <c r="Q150">
        <v>3001</v>
      </c>
      <c r="R150" t="s">
        <v>24</v>
      </c>
      <c r="S150" t="s">
        <v>25</v>
      </c>
      <c r="T150">
        <v>25</v>
      </c>
      <c r="U150">
        <f t="shared" si="11"/>
        <v>2</v>
      </c>
      <c r="V150">
        <f t="shared" si="12"/>
        <v>2023</v>
      </c>
      <c r="W150">
        <f t="shared" si="13"/>
        <v>2400</v>
      </c>
      <c r="X150">
        <f t="shared" si="14"/>
        <v>120</v>
      </c>
    </row>
    <row r="151" spans="1:24" x14ac:dyDescent="0.25">
      <c r="A151">
        <v>1150</v>
      </c>
      <c r="B151" t="s">
        <v>35</v>
      </c>
      <c r="C151" t="s">
        <v>54</v>
      </c>
      <c r="D151" t="s">
        <v>151</v>
      </c>
      <c r="E151" s="2">
        <v>44959</v>
      </c>
      <c r="H151" s="1">
        <v>120</v>
      </c>
      <c r="I151" s="1">
        <v>200</v>
      </c>
      <c r="J151">
        <v>1</v>
      </c>
      <c r="K151" s="1"/>
      <c r="L151" s="1"/>
      <c r="M151" s="1">
        <f t="shared" si="10"/>
        <v>0</v>
      </c>
      <c r="N151" t="s">
        <v>26</v>
      </c>
      <c r="O151" t="s">
        <v>27</v>
      </c>
      <c r="P151">
        <v>2102</v>
      </c>
      <c r="Q151">
        <v>3102</v>
      </c>
      <c r="R151" t="s">
        <v>102</v>
      </c>
      <c r="S151" t="s">
        <v>29</v>
      </c>
      <c r="T151">
        <v>9</v>
      </c>
      <c r="U151">
        <f t="shared" si="11"/>
        <v>2</v>
      </c>
      <c r="V151">
        <f t="shared" si="12"/>
        <v>2023</v>
      </c>
      <c r="W151">
        <f t="shared" si="13"/>
        <v>200</v>
      </c>
      <c r="X151">
        <f t="shared" si="14"/>
        <v>0</v>
      </c>
    </row>
    <row r="152" spans="1:24" x14ac:dyDescent="0.25">
      <c r="A152">
        <v>1151</v>
      </c>
      <c r="B152" t="s">
        <v>20</v>
      </c>
      <c r="C152" t="s">
        <v>59</v>
      </c>
      <c r="D152" t="s">
        <v>121</v>
      </c>
      <c r="E152" s="2">
        <v>44959</v>
      </c>
      <c r="H152" s="1">
        <v>1050</v>
      </c>
      <c r="I152" s="1">
        <v>1500</v>
      </c>
      <c r="J152">
        <v>1</v>
      </c>
      <c r="K152" s="1"/>
      <c r="L152" s="1"/>
      <c r="M152" s="1">
        <f t="shared" si="10"/>
        <v>0</v>
      </c>
      <c r="N152" t="s">
        <v>26</v>
      </c>
      <c r="O152" t="s">
        <v>27</v>
      </c>
      <c r="P152">
        <v>2002</v>
      </c>
      <c r="Q152">
        <v>3002</v>
      </c>
      <c r="R152" t="s">
        <v>28</v>
      </c>
      <c r="S152" t="s">
        <v>29</v>
      </c>
      <c r="T152">
        <v>22</v>
      </c>
      <c r="U152">
        <f t="shared" si="11"/>
        <v>2</v>
      </c>
      <c r="V152">
        <f t="shared" si="12"/>
        <v>2023</v>
      </c>
      <c r="W152">
        <f t="shared" si="13"/>
        <v>1500</v>
      </c>
      <c r="X152">
        <f t="shared" si="14"/>
        <v>0</v>
      </c>
    </row>
    <row r="153" spans="1:24" x14ac:dyDescent="0.25">
      <c r="A153">
        <v>1152</v>
      </c>
      <c r="B153" t="s">
        <v>20</v>
      </c>
      <c r="C153" t="s">
        <v>59</v>
      </c>
      <c r="D153" t="s">
        <v>152</v>
      </c>
      <c r="E153" s="2">
        <v>44960</v>
      </c>
      <c r="H153" s="1">
        <v>240</v>
      </c>
      <c r="I153" s="1">
        <v>400</v>
      </c>
      <c r="J153">
        <v>3</v>
      </c>
      <c r="K153" s="1"/>
      <c r="L153" s="1"/>
      <c r="M153" s="1">
        <f t="shared" si="10"/>
        <v>0</v>
      </c>
      <c r="N153" t="s">
        <v>22</v>
      </c>
      <c r="O153" t="s">
        <v>32</v>
      </c>
      <c r="P153">
        <v>2103</v>
      </c>
      <c r="Q153">
        <v>3103</v>
      </c>
      <c r="R153" t="s">
        <v>105</v>
      </c>
      <c r="S153" t="s">
        <v>25</v>
      </c>
      <c r="T153">
        <v>25</v>
      </c>
      <c r="U153">
        <f t="shared" si="11"/>
        <v>2</v>
      </c>
      <c r="V153">
        <f t="shared" si="12"/>
        <v>2023</v>
      </c>
      <c r="W153">
        <f t="shared" si="13"/>
        <v>1200</v>
      </c>
      <c r="X153">
        <f t="shared" si="14"/>
        <v>0</v>
      </c>
    </row>
    <row r="154" spans="1:24" x14ac:dyDescent="0.25">
      <c r="A154">
        <v>1153</v>
      </c>
      <c r="B154" t="s">
        <v>20</v>
      </c>
      <c r="C154" t="s">
        <v>21</v>
      </c>
      <c r="D154" t="s">
        <v>122</v>
      </c>
      <c r="E154" s="2">
        <v>44960</v>
      </c>
      <c r="H154" s="1">
        <v>1260</v>
      </c>
      <c r="I154" s="1">
        <v>1800</v>
      </c>
      <c r="J154">
        <v>3</v>
      </c>
      <c r="K154" s="1"/>
      <c r="L154" s="1"/>
      <c r="M154" s="1">
        <f t="shared" si="10"/>
        <v>0</v>
      </c>
      <c r="N154" t="s">
        <v>22</v>
      </c>
      <c r="O154" t="s">
        <v>32</v>
      </c>
      <c r="P154">
        <v>2003</v>
      </c>
      <c r="Q154">
        <v>3003</v>
      </c>
      <c r="R154" t="s">
        <v>33</v>
      </c>
      <c r="S154" t="s">
        <v>25</v>
      </c>
      <c r="T154">
        <v>18</v>
      </c>
      <c r="U154">
        <f t="shared" si="11"/>
        <v>2</v>
      </c>
      <c r="V154">
        <f t="shared" si="12"/>
        <v>2023</v>
      </c>
      <c r="W154">
        <f t="shared" si="13"/>
        <v>5400</v>
      </c>
      <c r="X154">
        <f t="shared" si="14"/>
        <v>270</v>
      </c>
    </row>
    <row r="155" spans="1:24" x14ac:dyDescent="0.25">
      <c r="A155">
        <v>1154</v>
      </c>
      <c r="B155" t="s">
        <v>20</v>
      </c>
      <c r="C155" t="s">
        <v>21</v>
      </c>
      <c r="D155" t="s">
        <v>153</v>
      </c>
      <c r="E155" s="2">
        <v>44961</v>
      </c>
      <c r="H155" s="1">
        <v>360</v>
      </c>
      <c r="I155" s="1">
        <v>600</v>
      </c>
      <c r="J155">
        <v>1</v>
      </c>
      <c r="K155" s="1"/>
      <c r="L155" s="1"/>
      <c r="M155" s="1">
        <f t="shared" si="10"/>
        <v>0</v>
      </c>
      <c r="N155" t="s">
        <v>22</v>
      </c>
      <c r="O155" t="s">
        <v>23</v>
      </c>
      <c r="P155">
        <v>2104</v>
      </c>
      <c r="Q155">
        <v>3104</v>
      </c>
      <c r="R155" t="s">
        <v>106</v>
      </c>
      <c r="S155" t="s">
        <v>29</v>
      </c>
      <c r="T155">
        <v>23</v>
      </c>
      <c r="U155">
        <f t="shared" si="11"/>
        <v>2</v>
      </c>
      <c r="V155">
        <f t="shared" si="12"/>
        <v>2023</v>
      </c>
      <c r="W155">
        <f t="shared" si="13"/>
        <v>600</v>
      </c>
      <c r="X155">
        <f t="shared" si="14"/>
        <v>0</v>
      </c>
    </row>
    <row r="156" spans="1:24" x14ac:dyDescent="0.25">
      <c r="A156">
        <v>1155</v>
      </c>
      <c r="B156" t="s">
        <v>30</v>
      </c>
      <c r="C156" t="s">
        <v>31</v>
      </c>
      <c r="D156" t="s">
        <v>123</v>
      </c>
      <c r="E156" s="2">
        <v>44961</v>
      </c>
      <c r="H156" s="1">
        <v>1470</v>
      </c>
      <c r="I156" s="1">
        <v>2100</v>
      </c>
      <c r="J156">
        <v>1</v>
      </c>
      <c r="K156" s="1"/>
      <c r="L156" s="1"/>
      <c r="M156" s="1">
        <f t="shared" si="10"/>
        <v>0</v>
      </c>
      <c r="N156" t="s">
        <v>22</v>
      </c>
      <c r="O156" t="s">
        <v>23</v>
      </c>
      <c r="P156">
        <v>2004</v>
      </c>
      <c r="Q156">
        <v>3004</v>
      </c>
      <c r="R156" t="s">
        <v>34</v>
      </c>
      <c r="S156" t="s">
        <v>29</v>
      </c>
      <c r="T156">
        <v>16</v>
      </c>
      <c r="U156">
        <f t="shared" si="11"/>
        <v>2</v>
      </c>
      <c r="V156">
        <f t="shared" si="12"/>
        <v>2023</v>
      </c>
      <c r="W156">
        <f t="shared" si="13"/>
        <v>2100</v>
      </c>
      <c r="X156">
        <f t="shared" si="14"/>
        <v>105</v>
      </c>
    </row>
    <row r="157" spans="1:24" x14ac:dyDescent="0.25">
      <c r="A157">
        <v>1156</v>
      </c>
      <c r="B157" t="s">
        <v>20</v>
      </c>
      <c r="C157" t="s">
        <v>21</v>
      </c>
      <c r="D157" t="s">
        <v>154</v>
      </c>
      <c r="E157" s="2">
        <v>44962</v>
      </c>
      <c r="H157" s="1">
        <v>1296</v>
      </c>
      <c r="I157" s="1">
        <v>1800</v>
      </c>
      <c r="J157">
        <v>2</v>
      </c>
      <c r="K157" s="1"/>
      <c r="L157" s="1"/>
      <c r="M157" s="1">
        <f t="shared" si="10"/>
        <v>0</v>
      </c>
      <c r="N157" t="s">
        <v>26</v>
      </c>
      <c r="O157" t="s">
        <v>27</v>
      </c>
      <c r="P157">
        <v>2105</v>
      </c>
      <c r="Q157">
        <v>3105</v>
      </c>
      <c r="R157" t="s">
        <v>107</v>
      </c>
      <c r="S157" t="s">
        <v>25</v>
      </c>
      <c r="T157">
        <v>29</v>
      </c>
      <c r="U157">
        <f t="shared" si="11"/>
        <v>2</v>
      </c>
      <c r="V157">
        <f t="shared" si="12"/>
        <v>2023</v>
      </c>
      <c r="W157">
        <f t="shared" si="13"/>
        <v>3600</v>
      </c>
      <c r="X157">
        <f t="shared" si="14"/>
        <v>180</v>
      </c>
    </row>
    <row r="158" spans="1:24" x14ac:dyDescent="0.25">
      <c r="A158">
        <v>1157</v>
      </c>
      <c r="B158" t="s">
        <v>20</v>
      </c>
      <c r="C158" t="s">
        <v>21</v>
      </c>
      <c r="D158" t="s">
        <v>37</v>
      </c>
      <c r="E158" s="2">
        <v>44962</v>
      </c>
      <c r="H158" s="1">
        <v>896.99999999999989</v>
      </c>
      <c r="I158" s="1">
        <v>1300</v>
      </c>
      <c r="J158">
        <v>2</v>
      </c>
      <c r="K158" s="1"/>
      <c r="L158" s="1"/>
      <c r="M158" s="1">
        <f t="shared" si="10"/>
        <v>0</v>
      </c>
      <c r="N158" t="s">
        <v>26</v>
      </c>
      <c r="O158" t="s">
        <v>27</v>
      </c>
      <c r="P158">
        <v>2005</v>
      </c>
      <c r="Q158">
        <v>3005</v>
      </c>
      <c r="R158" t="s">
        <v>38</v>
      </c>
      <c r="S158" t="s">
        <v>25</v>
      </c>
      <c r="T158">
        <v>27</v>
      </c>
      <c r="U158">
        <f t="shared" si="11"/>
        <v>2</v>
      </c>
      <c r="V158">
        <f t="shared" si="12"/>
        <v>2023</v>
      </c>
      <c r="W158">
        <f t="shared" si="13"/>
        <v>2600</v>
      </c>
      <c r="X158">
        <f t="shared" si="14"/>
        <v>130</v>
      </c>
    </row>
    <row r="159" spans="1:24" x14ac:dyDescent="0.25">
      <c r="A159">
        <v>1158</v>
      </c>
      <c r="B159" t="s">
        <v>30</v>
      </c>
      <c r="C159" t="s">
        <v>31</v>
      </c>
      <c r="D159" t="s">
        <v>155</v>
      </c>
      <c r="E159" s="2">
        <v>44963</v>
      </c>
      <c r="H159" s="1">
        <v>1728</v>
      </c>
      <c r="I159" s="1">
        <v>2400</v>
      </c>
      <c r="J159">
        <v>1</v>
      </c>
      <c r="K159" s="1"/>
      <c r="L159" s="1"/>
      <c r="M159" s="1">
        <f t="shared" si="10"/>
        <v>0</v>
      </c>
      <c r="N159" t="s">
        <v>22</v>
      </c>
      <c r="O159" t="s">
        <v>23</v>
      </c>
      <c r="P159">
        <v>2106</v>
      </c>
      <c r="Q159">
        <v>3106</v>
      </c>
      <c r="R159" t="s">
        <v>108</v>
      </c>
      <c r="S159" t="s">
        <v>29</v>
      </c>
      <c r="T159">
        <v>27</v>
      </c>
      <c r="U159">
        <f t="shared" si="11"/>
        <v>2</v>
      </c>
      <c r="V159">
        <f t="shared" si="12"/>
        <v>2023</v>
      </c>
      <c r="W159">
        <f t="shared" si="13"/>
        <v>2400</v>
      </c>
      <c r="X159">
        <f t="shared" si="14"/>
        <v>120</v>
      </c>
    </row>
    <row r="160" spans="1:24" x14ac:dyDescent="0.25">
      <c r="A160">
        <v>1159</v>
      </c>
      <c r="B160" t="s">
        <v>30</v>
      </c>
      <c r="C160" t="s">
        <v>31</v>
      </c>
      <c r="D160" t="s">
        <v>39</v>
      </c>
      <c r="E160" s="2">
        <v>44963</v>
      </c>
      <c r="H160" s="1">
        <v>1104</v>
      </c>
      <c r="I160" s="1">
        <v>1600</v>
      </c>
      <c r="J160">
        <v>1</v>
      </c>
      <c r="K160" s="1"/>
      <c r="L160" s="1"/>
      <c r="M160" s="1">
        <f t="shared" si="10"/>
        <v>0</v>
      </c>
      <c r="N160" t="s">
        <v>22</v>
      </c>
      <c r="O160" t="s">
        <v>23</v>
      </c>
      <c r="P160">
        <v>2006</v>
      </c>
      <c r="Q160">
        <v>3006</v>
      </c>
      <c r="R160" t="s">
        <v>40</v>
      </c>
      <c r="S160" t="s">
        <v>29</v>
      </c>
      <c r="T160">
        <v>24</v>
      </c>
      <c r="U160">
        <f t="shared" si="11"/>
        <v>2</v>
      </c>
      <c r="V160">
        <f t="shared" si="12"/>
        <v>2023</v>
      </c>
      <c r="W160">
        <f t="shared" si="13"/>
        <v>1600</v>
      </c>
      <c r="X160">
        <f t="shared" si="14"/>
        <v>0</v>
      </c>
    </row>
    <row r="161" spans="1:24" x14ac:dyDescent="0.25">
      <c r="A161">
        <v>1160</v>
      </c>
      <c r="B161" t="s">
        <v>35</v>
      </c>
      <c r="C161" t="s">
        <v>36</v>
      </c>
      <c r="D161" t="s">
        <v>156</v>
      </c>
      <c r="E161" s="2">
        <v>44964</v>
      </c>
      <c r="H161" s="1">
        <v>1491</v>
      </c>
      <c r="I161" s="1">
        <v>2100</v>
      </c>
      <c r="J161">
        <v>2</v>
      </c>
      <c r="K161" s="1"/>
      <c r="L161" s="1"/>
      <c r="M161" s="1">
        <f t="shared" si="10"/>
        <v>0</v>
      </c>
      <c r="N161" t="s">
        <v>26</v>
      </c>
      <c r="O161" t="s">
        <v>23</v>
      </c>
      <c r="P161">
        <v>2107</v>
      </c>
      <c r="Q161">
        <v>3107</v>
      </c>
      <c r="R161" t="s">
        <v>110</v>
      </c>
      <c r="S161" t="s">
        <v>25</v>
      </c>
      <c r="T161">
        <v>20</v>
      </c>
      <c r="U161">
        <f t="shared" si="11"/>
        <v>2</v>
      </c>
      <c r="V161">
        <f t="shared" si="12"/>
        <v>2023</v>
      </c>
      <c r="W161">
        <f t="shared" si="13"/>
        <v>4200</v>
      </c>
      <c r="X161">
        <f t="shared" si="14"/>
        <v>210</v>
      </c>
    </row>
    <row r="162" spans="1:24" x14ac:dyDescent="0.25">
      <c r="A162">
        <v>1161</v>
      </c>
      <c r="B162" t="s">
        <v>35</v>
      </c>
      <c r="C162" t="s">
        <v>36</v>
      </c>
      <c r="D162" t="s">
        <v>124</v>
      </c>
      <c r="E162" s="2">
        <v>44964</v>
      </c>
      <c r="H162" s="1">
        <v>1496</v>
      </c>
      <c r="I162" s="1">
        <v>2200</v>
      </c>
      <c r="J162">
        <v>2</v>
      </c>
      <c r="K162" s="1"/>
      <c r="L162" s="1"/>
      <c r="M162" s="1">
        <f t="shared" si="10"/>
        <v>0</v>
      </c>
      <c r="N162" t="s">
        <v>26</v>
      </c>
      <c r="O162" t="s">
        <v>23</v>
      </c>
      <c r="P162">
        <v>2007</v>
      </c>
      <c r="Q162">
        <v>3007</v>
      </c>
      <c r="R162" t="s">
        <v>42</v>
      </c>
      <c r="S162" t="s">
        <v>25</v>
      </c>
      <c r="T162">
        <v>29</v>
      </c>
      <c r="U162">
        <f t="shared" si="11"/>
        <v>2</v>
      </c>
      <c r="V162">
        <f t="shared" si="12"/>
        <v>2023</v>
      </c>
      <c r="W162">
        <f t="shared" si="13"/>
        <v>4400</v>
      </c>
      <c r="X162">
        <f t="shared" si="14"/>
        <v>220</v>
      </c>
    </row>
    <row r="163" spans="1:24" x14ac:dyDescent="0.25">
      <c r="A163">
        <v>1162</v>
      </c>
      <c r="B163" t="s">
        <v>20</v>
      </c>
      <c r="C163" t="s">
        <v>41</v>
      </c>
      <c r="D163" t="s">
        <v>157</v>
      </c>
      <c r="E163" s="2">
        <v>44965</v>
      </c>
      <c r="H163" s="1">
        <v>1846</v>
      </c>
      <c r="I163" s="1">
        <v>2600</v>
      </c>
      <c r="J163">
        <v>1</v>
      </c>
      <c r="K163" s="1"/>
      <c r="L163" s="1"/>
      <c r="M163" s="1">
        <f t="shared" si="10"/>
        <v>0</v>
      </c>
      <c r="N163" t="s">
        <v>22</v>
      </c>
      <c r="O163" t="s">
        <v>27</v>
      </c>
      <c r="P163">
        <v>2108</v>
      </c>
      <c r="Q163">
        <v>3108</v>
      </c>
      <c r="R163" t="s">
        <v>111</v>
      </c>
      <c r="S163" t="s">
        <v>29</v>
      </c>
      <c r="T163">
        <v>18</v>
      </c>
      <c r="U163">
        <f t="shared" si="11"/>
        <v>2</v>
      </c>
      <c r="V163">
        <f t="shared" si="12"/>
        <v>2023</v>
      </c>
      <c r="W163">
        <f t="shared" si="13"/>
        <v>2600</v>
      </c>
      <c r="X163">
        <f t="shared" si="14"/>
        <v>130</v>
      </c>
    </row>
    <row r="164" spans="1:24" x14ac:dyDescent="0.25">
      <c r="A164">
        <v>1163</v>
      </c>
      <c r="B164" t="s">
        <v>20</v>
      </c>
      <c r="C164" t="s">
        <v>41</v>
      </c>
      <c r="D164" t="s">
        <v>125</v>
      </c>
      <c r="E164" s="2">
        <v>44965</v>
      </c>
      <c r="H164" s="1">
        <v>1700.0000000000002</v>
      </c>
      <c r="I164" s="1">
        <v>2500</v>
      </c>
      <c r="J164">
        <v>1</v>
      </c>
      <c r="K164" s="1"/>
      <c r="L164" s="1"/>
      <c r="M164" s="1">
        <f t="shared" si="10"/>
        <v>0</v>
      </c>
      <c r="N164" t="s">
        <v>22</v>
      </c>
      <c r="O164" t="s">
        <v>27</v>
      </c>
      <c r="P164">
        <v>2008</v>
      </c>
      <c r="Q164">
        <v>3008</v>
      </c>
      <c r="R164" t="s">
        <v>43</v>
      </c>
      <c r="S164" t="s">
        <v>29</v>
      </c>
      <c r="T164">
        <v>27</v>
      </c>
      <c r="U164">
        <f t="shared" si="11"/>
        <v>2</v>
      </c>
      <c r="V164">
        <f t="shared" si="12"/>
        <v>2023</v>
      </c>
      <c r="W164">
        <f t="shared" si="13"/>
        <v>2500</v>
      </c>
      <c r="X164">
        <f t="shared" si="14"/>
        <v>125</v>
      </c>
    </row>
    <row r="165" spans="1:24" x14ac:dyDescent="0.25">
      <c r="A165">
        <v>1164</v>
      </c>
      <c r="B165" t="s">
        <v>20</v>
      </c>
      <c r="C165" t="s">
        <v>44</v>
      </c>
      <c r="D165" t="s">
        <v>142</v>
      </c>
      <c r="E165" s="2">
        <v>44976</v>
      </c>
      <c r="H165" s="1">
        <v>720</v>
      </c>
      <c r="I165" s="1">
        <v>1200</v>
      </c>
      <c r="J165">
        <v>2</v>
      </c>
      <c r="K165" s="1"/>
      <c r="L165" s="1"/>
      <c r="M165" s="1">
        <f t="shared" si="10"/>
        <v>0</v>
      </c>
      <c r="N165" t="s">
        <v>22</v>
      </c>
      <c r="O165" t="s">
        <v>23</v>
      </c>
      <c r="P165">
        <v>2081</v>
      </c>
      <c r="Q165">
        <v>3081</v>
      </c>
      <c r="R165" t="s">
        <v>89</v>
      </c>
      <c r="S165" t="s">
        <v>25</v>
      </c>
      <c r="T165">
        <v>27</v>
      </c>
      <c r="U165">
        <f t="shared" si="11"/>
        <v>2</v>
      </c>
      <c r="V165">
        <f t="shared" si="12"/>
        <v>2023</v>
      </c>
      <c r="W165">
        <f t="shared" si="13"/>
        <v>2400</v>
      </c>
      <c r="X165">
        <f t="shared" si="14"/>
        <v>120</v>
      </c>
    </row>
    <row r="166" spans="1:24" x14ac:dyDescent="0.25">
      <c r="A166">
        <v>1165</v>
      </c>
      <c r="B166" t="s">
        <v>20</v>
      </c>
      <c r="C166" t="s">
        <v>44</v>
      </c>
      <c r="D166" t="s">
        <v>142</v>
      </c>
      <c r="E166" s="2">
        <v>44976</v>
      </c>
      <c r="H166" s="1">
        <v>720</v>
      </c>
      <c r="I166" s="1">
        <v>1200</v>
      </c>
      <c r="J166">
        <v>2</v>
      </c>
      <c r="K166" s="1"/>
      <c r="L166" s="1"/>
      <c r="M166" s="1">
        <f t="shared" si="10"/>
        <v>0</v>
      </c>
      <c r="N166" t="s">
        <v>22</v>
      </c>
      <c r="O166" t="s">
        <v>23</v>
      </c>
      <c r="P166">
        <v>2081</v>
      </c>
      <c r="Q166">
        <v>3081</v>
      </c>
      <c r="R166" t="s">
        <v>89</v>
      </c>
      <c r="S166" t="s">
        <v>25</v>
      </c>
      <c r="T166">
        <v>27</v>
      </c>
      <c r="U166">
        <f t="shared" si="11"/>
        <v>2</v>
      </c>
      <c r="V166">
        <f t="shared" si="12"/>
        <v>2023</v>
      </c>
      <c r="W166">
        <f t="shared" si="13"/>
        <v>2400</v>
      </c>
      <c r="X166">
        <f t="shared" si="14"/>
        <v>120</v>
      </c>
    </row>
    <row r="167" spans="1:24" x14ac:dyDescent="0.25">
      <c r="A167">
        <v>1166</v>
      </c>
      <c r="B167" t="s">
        <v>30</v>
      </c>
      <c r="C167" t="s">
        <v>49</v>
      </c>
      <c r="D167" t="s">
        <v>143</v>
      </c>
      <c r="E167" s="2">
        <v>44977</v>
      </c>
      <c r="H167" s="1">
        <v>900</v>
      </c>
      <c r="I167" s="1">
        <v>1500</v>
      </c>
      <c r="J167">
        <v>1</v>
      </c>
      <c r="K167" s="1"/>
      <c r="L167" s="1"/>
      <c r="M167" s="1">
        <f t="shared" si="10"/>
        <v>0</v>
      </c>
      <c r="N167" t="s">
        <v>26</v>
      </c>
      <c r="O167" t="s">
        <v>27</v>
      </c>
      <c r="P167">
        <v>2082</v>
      </c>
      <c r="Q167">
        <v>3082</v>
      </c>
      <c r="R167" t="s">
        <v>90</v>
      </c>
      <c r="S167" t="s">
        <v>29</v>
      </c>
      <c r="T167">
        <v>25</v>
      </c>
      <c r="U167">
        <f t="shared" si="11"/>
        <v>2</v>
      </c>
      <c r="V167">
        <f t="shared" si="12"/>
        <v>2023</v>
      </c>
      <c r="W167">
        <f t="shared" si="13"/>
        <v>1500</v>
      </c>
      <c r="X167">
        <f t="shared" si="14"/>
        <v>0</v>
      </c>
    </row>
    <row r="168" spans="1:24" x14ac:dyDescent="0.25">
      <c r="A168">
        <v>1167</v>
      </c>
      <c r="B168" t="s">
        <v>30</v>
      </c>
      <c r="C168" t="s">
        <v>49</v>
      </c>
      <c r="D168" t="s">
        <v>143</v>
      </c>
      <c r="E168" s="2">
        <v>44977</v>
      </c>
      <c r="H168" s="1">
        <v>900</v>
      </c>
      <c r="I168" s="1">
        <v>1500</v>
      </c>
      <c r="J168">
        <v>1</v>
      </c>
      <c r="K168" s="1"/>
      <c r="L168" s="1"/>
      <c r="M168" s="1">
        <f t="shared" si="10"/>
        <v>0</v>
      </c>
      <c r="N168" t="s">
        <v>26</v>
      </c>
      <c r="O168" t="s">
        <v>27</v>
      </c>
      <c r="P168">
        <v>2082</v>
      </c>
      <c r="Q168">
        <v>3082</v>
      </c>
      <c r="R168" t="s">
        <v>90</v>
      </c>
      <c r="S168" t="s">
        <v>29</v>
      </c>
      <c r="T168">
        <v>25</v>
      </c>
      <c r="U168">
        <f t="shared" si="11"/>
        <v>2</v>
      </c>
      <c r="V168">
        <f t="shared" si="12"/>
        <v>2023</v>
      </c>
      <c r="W168">
        <f t="shared" si="13"/>
        <v>1500</v>
      </c>
      <c r="X168">
        <f t="shared" si="14"/>
        <v>0</v>
      </c>
    </row>
    <row r="169" spans="1:24" x14ac:dyDescent="0.25">
      <c r="A169">
        <v>1168</v>
      </c>
      <c r="B169" t="s">
        <v>35</v>
      </c>
      <c r="C169" t="s">
        <v>54</v>
      </c>
      <c r="D169" t="s">
        <v>144</v>
      </c>
      <c r="E169" s="2">
        <v>44978</v>
      </c>
      <c r="H169" s="1">
        <v>1931.9999999999998</v>
      </c>
      <c r="I169" s="1">
        <v>2800</v>
      </c>
      <c r="J169">
        <v>3</v>
      </c>
      <c r="K169" s="1"/>
      <c r="L169" s="1"/>
      <c r="M169" s="1">
        <f t="shared" si="10"/>
        <v>0</v>
      </c>
      <c r="N169" t="s">
        <v>22</v>
      </c>
      <c r="O169" t="s">
        <v>32</v>
      </c>
      <c r="P169">
        <v>2083</v>
      </c>
      <c r="Q169">
        <v>3083</v>
      </c>
      <c r="R169" t="s">
        <v>92</v>
      </c>
      <c r="S169" t="s">
        <v>25</v>
      </c>
      <c r="T169">
        <v>18</v>
      </c>
      <c r="U169">
        <f t="shared" si="11"/>
        <v>2</v>
      </c>
      <c r="V169">
        <f t="shared" si="12"/>
        <v>2023</v>
      </c>
      <c r="W169">
        <f t="shared" si="13"/>
        <v>8400</v>
      </c>
      <c r="X169">
        <f t="shared" si="14"/>
        <v>420</v>
      </c>
    </row>
    <row r="170" spans="1:24" x14ac:dyDescent="0.25">
      <c r="A170">
        <v>1169</v>
      </c>
      <c r="B170" t="s">
        <v>35</v>
      </c>
      <c r="C170" t="s">
        <v>54</v>
      </c>
      <c r="D170" t="s">
        <v>45</v>
      </c>
      <c r="E170" s="2">
        <v>44978</v>
      </c>
      <c r="H170" s="1">
        <v>737</v>
      </c>
      <c r="I170" s="1">
        <v>1100</v>
      </c>
      <c r="J170">
        <v>2</v>
      </c>
      <c r="K170" s="1"/>
      <c r="L170" s="1"/>
      <c r="M170" s="1">
        <f t="shared" si="10"/>
        <v>0</v>
      </c>
      <c r="N170" t="s">
        <v>22</v>
      </c>
      <c r="O170" t="s">
        <v>23</v>
      </c>
      <c r="P170">
        <v>2021</v>
      </c>
      <c r="Q170">
        <v>3021</v>
      </c>
      <c r="R170" t="s">
        <v>46</v>
      </c>
      <c r="S170" t="s">
        <v>25</v>
      </c>
      <c r="T170">
        <v>24</v>
      </c>
      <c r="U170">
        <f t="shared" si="11"/>
        <v>2</v>
      </c>
      <c r="V170">
        <f t="shared" si="12"/>
        <v>2023</v>
      </c>
      <c r="W170">
        <f t="shared" si="13"/>
        <v>2200</v>
      </c>
      <c r="X170">
        <f t="shared" si="14"/>
        <v>110</v>
      </c>
    </row>
    <row r="171" spans="1:24" x14ac:dyDescent="0.25">
      <c r="A171">
        <v>1170</v>
      </c>
      <c r="B171" t="s">
        <v>20</v>
      </c>
      <c r="C171" t="s">
        <v>59</v>
      </c>
      <c r="D171" t="s">
        <v>144</v>
      </c>
      <c r="E171" s="2">
        <v>44978</v>
      </c>
      <c r="H171" s="1">
        <v>1931.9999999999998</v>
      </c>
      <c r="I171" s="1">
        <v>2800</v>
      </c>
      <c r="J171">
        <v>3</v>
      </c>
      <c r="K171" s="1"/>
      <c r="L171" s="1"/>
      <c r="M171" s="1">
        <f t="shared" si="10"/>
        <v>0</v>
      </c>
      <c r="N171" t="s">
        <v>22</v>
      </c>
      <c r="O171" t="s">
        <v>32</v>
      </c>
      <c r="P171">
        <v>2083</v>
      </c>
      <c r="Q171">
        <v>3083</v>
      </c>
      <c r="R171" t="s">
        <v>92</v>
      </c>
      <c r="S171" t="s">
        <v>25</v>
      </c>
      <c r="T171">
        <v>18</v>
      </c>
      <c r="U171">
        <f t="shared" si="11"/>
        <v>2</v>
      </c>
      <c r="V171">
        <f t="shared" si="12"/>
        <v>2023</v>
      </c>
      <c r="W171">
        <f t="shared" si="13"/>
        <v>8400</v>
      </c>
      <c r="X171">
        <f t="shared" si="14"/>
        <v>420</v>
      </c>
    </row>
    <row r="172" spans="1:24" x14ac:dyDescent="0.25">
      <c r="A172">
        <v>1171</v>
      </c>
      <c r="B172" t="s">
        <v>20</v>
      </c>
      <c r="C172" t="s">
        <v>59</v>
      </c>
      <c r="D172" t="s">
        <v>145</v>
      </c>
      <c r="E172" s="2">
        <v>44979</v>
      </c>
      <c r="H172" s="1">
        <v>2208</v>
      </c>
      <c r="I172" s="1">
        <v>3200</v>
      </c>
      <c r="J172">
        <v>1</v>
      </c>
      <c r="K172" s="1"/>
      <c r="L172" s="1"/>
      <c r="M172" s="1">
        <f t="shared" si="10"/>
        <v>0</v>
      </c>
      <c r="N172" t="s">
        <v>22</v>
      </c>
      <c r="O172" t="s">
        <v>23</v>
      </c>
      <c r="P172">
        <v>2084</v>
      </c>
      <c r="Q172">
        <v>3084</v>
      </c>
      <c r="R172" t="s">
        <v>93</v>
      </c>
      <c r="S172" t="s">
        <v>29</v>
      </c>
      <c r="T172">
        <v>16</v>
      </c>
      <c r="U172">
        <f t="shared" si="11"/>
        <v>2</v>
      </c>
      <c r="V172">
        <f t="shared" si="12"/>
        <v>2023</v>
      </c>
      <c r="W172">
        <f t="shared" si="13"/>
        <v>3200</v>
      </c>
      <c r="X172">
        <f t="shared" si="14"/>
        <v>160</v>
      </c>
    </row>
    <row r="173" spans="1:24" x14ac:dyDescent="0.25">
      <c r="A173">
        <v>1172</v>
      </c>
      <c r="B173" t="s">
        <v>20</v>
      </c>
      <c r="C173" t="s">
        <v>62</v>
      </c>
      <c r="D173" t="s">
        <v>47</v>
      </c>
      <c r="E173" s="2">
        <v>44979</v>
      </c>
      <c r="H173" s="1">
        <v>938</v>
      </c>
      <c r="I173" s="1">
        <v>1400</v>
      </c>
      <c r="J173">
        <v>1</v>
      </c>
      <c r="K173" s="1"/>
      <c r="L173" s="1"/>
      <c r="M173" s="1">
        <f t="shared" si="10"/>
        <v>0</v>
      </c>
      <c r="N173" t="s">
        <v>26</v>
      </c>
      <c r="O173" t="s">
        <v>27</v>
      </c>
      <c r="P173">
        <v>2022</v>
      </c>
      <c r="Q173">
        <v>3022</v>
      </c>
      <c r="R173" t="s">
        <v>48</v>
      </c>
      <c r="S173" t="s">
        <v>29</v>
      </c>
      <c r="T173">
        <v>21</v>
      </c>
      <c r="U173">
        <f t="shared" si="11"/>
        <v>2</v>
      </c>
      <c r="V173">
        <f t="shared" si="12"/>
        <v>2023</v>
      </c>
      <c r="W173">
        <f t="shared" si="13"/>
        <v>1400</v>
      </c>
      <c r="X173">
        <f t="shared" si="14"/>
        <v>0</v>
      </c>
    </row>
    <row r="174" spans="1:24" x14ac:dyDescent="0.25">
      <c r="A174">
        <v>1173</v>
      </c>
      <c r="B174" t="s">
        <v>20</v>
      </c>
      <c r="C174" t="s">
        <v>62</v>
      </c>
      <c r="D174" t="s">
        <v>145</v>
      </c>
      <c r="E174" s="2">
        <v>44979</v>
      </c>
      <c r="H174" s="1">
        <v>2208</v>
      </c>
      <c r="I174" s="1">
        <v>3200</v>
      </c>
      <c r="J174">
        <v>1</v>
      </c>
      <c r="K174" s="1"/>
      <c r="L174" s="1"/>
      <c r="M174" s="1">
        <f t="shared" si="10"/>
        <v>0</v>
      </c>
      <c r="N174" t="s">
        <v>22</v>
      </c>
      <c r="O174" t="s">
        <v>23</v>
      </c>
      <c r="P174">
        <v>2084</v>
      </c>
      <c r="Q174">
        <v>3084</v>
      </c>
      <c r="R174" t="s">
        <v>93</v>
      </c>
      <c r="S174" t="s">
        <v>29</v>
      </c>
      <c r="T174">
        <v>16</v>
      </c>
      <c r="U174">
        <f t="shared" si="11"/>
        <v>2</v>
      </c>
      <c r="V174">
        <f t="shared" si="12"/>
        <v>2023</v>
      </c>
      <c r="W174">
        <f t="shared" si="13"/>
        <v>3200</v>
      </c>
      <c r="X174">
        <f t="shared" si="14"/>
        <v>160</v>
      </c>
    </row>
    <row r="175" spans="1:24" x14ac:dyDescent="0.25">
      <c r="A175">
        <v>1174</v>
      </c>
      <c r="B175" t="s">
        <v>30</v>
      </c>
      <c r="C175" t="s">
        <v>65</v>
      </c>
      <c r="D175" t="s">
        <v>47</v>
      </c>
      <c r="E175" s="2">
        <v>44979</v>
      </c>
      <c r="H175" s="1">
        <v>938</v>
      </c>
      <c r="I175" s="1">
        <v>1400</v>
      </c>
      <c r="J175">
        <v>1</v>
      </c>
      <c r="K175" s="1"/>
      <c r="L175" s="1"/>
      <c r="M175" s="1">
        <f t="shared" si="10"/>
        <v>0</v>
      </c>
      <c r="N175" t="s">
        <v>26</v>
      </c>
      <c r="O175" t="s">
        <v>27</v>
      </c>
      <c r="P175">
        <v>2022</v>
      </c>
      <c r="Q175">
        <v>3022</v>
      </c>
      <c r="R175" t="s">
        <v>48</v>
      </c>
      <c r="S175" t="s">
        <v>29</v>
      </c>
      <c r="T175">
        <v>21</v>
      </c>
      <c r="U175">
        <f t="shared" si="11"/>
        <v>2</v>
      </c>
      <c r="V175">
        <f t="shared" si="12"/>
        <v>2023</v>
      </c>
      <c r="W175">
        <f t="shared" si="13"/>
        <v>1400</v>
      </c>
      <c r="X175">
        <f t="shared" si="14"/>
        <v>0</v>
      </c>
    </row>
    <row r="176" spans="1:24" x14ac:dyDescent="0.25">
      <c r="A176">
        <v>1175</v>
      </c>
      <c r="B176" t="s">
        <v>30</v>
      </c>
      <c r="C176" t="s">
        <v>65</v>
      </c>
      <c r="D176" t="s">
        <v>146</v>
      </c>
      <c r="E176" s="2">
        <v>44980</v>
      </c>
      <c r="H176" s="1">
        <v>1500</v>
      </c>
      <c r="I176" s="1">
        <v>2000</v>
      </c>
      <c r="J176">
        <v>2</v>
      </c>
      <c r="K176" s="1"/>
      <c r="L176" s="1"/>
      <c r="M176" s="1">
        <f t="shared" si="10"/>
        <v>0</v>
      </c>
      <c r="N176" t="s">
        <v>26</v>
      </c>
      <c r="O176" t="s">
        <v>27</v>
      </c>
      <c r="P176">
        <v>2085</v>
      </c>
      <c r="Q176">
        <v>3085</v>
      </c>
      <c r="R176" t="s">
        <v>95</v>
      </c>
      <c r="S176" t="s">
        <v>25</v>
      </c>
      <c r="T176">
        <v>33</v>
      </c>
      <c r="U176">
        <f t="shared" si="11"/>
        <v>2</v>
      </c>
      <c r="V176">
        <f t="shared" si="12"/>
        <v>2023</v>
      </c>
      <c r="W176">
        <f t="shared" si="13"/>
        <v>4000</v>
      </c>
      <c r="X176">
        <f t="shared" si="14"/>
        <v>200</v>
      </c>
    </row>
    <row r="177" spans="1:24" x14ac:dyDescent="0.25">
      <c r="A177">
        <v>1176</v>
      </c>
      <c r="B177" t="s">
        <v>30</v>
      </c>
      <c r="C177" t="s">
        <v>65</v>
      </c>
      <c r="D177" t="s">
        <v>50</v>
      </c>
      <c r="E177" s="2">
        <v>44980</v>
      </c>
      <c r="H177" s="1">
        <v>1190</v>
      </c>
      <c r="I177" s="1">
        <v>1700</v>
      </c>
      <c r="J177">
        <v>3</v>
      </c>
      <c r="K177" s="1"/>
      <c r="L177" s="1"/>
      <c r="M177" s="1">
        <f t="shared" si="10"/>
        <v>0</v>
      </c>
      <c r="N177" t="s">
        <v>22</v>
      </c>
      <c r="O177" t="s">
        <v>32</v>
      </c>
      <c r="P177">
        <v>2023</v>
      </c>
      <c r="Q177">
        <v>3023</v>
      </c>
      <c r="R177" t="s">
        <v>51</v>
      </c>
      <c r="S177" t="s">
        <v>25</v>
      </c>
      <c r="T177">
        <v>20</v>
      </c>
      <c r="U177">
        <f t="shared" si="11"/>
        <v>2</v>
      </c>
      <c r="V177">
        <f t="shared" si="12"/>
        <v>2023</v>
      </c>
      <c r="W177">
        <f t="shared" si="13"/>
        <v>5100</v>
      </c>
      <c r="X177">
        <f t="shared" si="14"/>
        <v>255</v>
      </c>
    </row>
    <row r="178" spans="1:24" x14ac:dyDescent="0.25">
      <c r="A178">
        <v>1177</v>
      </c>
      <c r="B178" t="s">
        <v>30</v>
      </c>
      <c r="C178" t="s">
        <v>65</v>
      </c>
      <c r="D178" t="s">
        <v>146</v>
      </c>
      <c r="E178" s="2">
        <v>44980</v>
      </c>
      <c r="H178" s="1">
        <v>1500</v>
      </c>
      <c r="I178" s="1">
        <v>2000</v>
      </c>
      <c r="J178">
        <v>2</v>
      </c>
      <c r="K178" s="1"/>
      <c r="L178" s="1"/>
      <c r="M178" s="1">
        <f t="shared" si="10"/>
        <v>0</v>
      </c>
      <c r="N178" t="s">
        <v>26</v>
      </c>
      <c r="O178" t="s">
        <v>27</v>
      </c>
      <c r="P178">
        <v>2085</v>
      </c>
      <c r="Q178">
        <v>3085</v>
      </c>
      <c r="R178" t="s">
        <v>95</v>
      </c>
      <c r="S178" t="s">
        <v>25</v>
      </c>
      <c r="T178">
        <v>33</v>
      </c>
      <c r="U178">
        <f t="shared" si="11"/>
        <v>2</v>
      </c>
      <c r="V178">
        <f t="shared" si="12"/>
        <v>2023</v>
      </c>
      <c r="W178">
        <f t="shared" si="13"/>
        <v>4000</v>
      </c>
      <c r="X178">
        <f t="shared" si="14"/>
        <v>200</v>
      </c>
    </row>
    <row r="179" spans="1:24" x14ac:dyDescent="0.25">
      <c r="A179">
        <v>1178</v>
      </c>
      <c r="B179" t="s">
        <v>35</v>
      </c>
      <c r="C179" t="s">
        <v>68</v>
      </c>
      <c r="D179" t="s">
        <v>50</v>
      </c>
      <c r="E179" s="2">
        <v>44980</v>
      </c>
      <c r="H179" s="1">
        <v>1190</v>
      </c>
      <c r="I179" s="1">
        <v>1700</v>
      </c>
      <c r="J179">
        <v>3</v>
      </c>
      <c r="K179" s="1"/>
      <c r="L179" s="1"/>
      <c r="M179" s="1">
        <f t="shared" si="10"/>
        <v>0</v>
      </c>
      <c r="N179" t="s">
        <v>22</v>
      </c>
      <c r="O179" t="s">
        <v>32</v>
      </c>
      <c r="P179">
        <v>2023</v>
      </c>
      <c r="Q179">
        <v>3023</v>
      </c>
      <c r="R179" t="s">
        <v>51</v>
      </c>
      <c r="S179" t="s">
        <v>25</v>
      </c>
      <c r="T179">
        <v>20</v>
      </c>
      <c r="U179">
        <f t="shared" si="11"/>
        <v>2</v>
      </c>
      <c r="V179">
        <f t="shared" si="12"/>
        <v>2023</v>
      </c>
      <c r="W179">
        <f t="shared" si="13"/>
        <v>5100</v>
      </c>
      <c r="X179">
        <f t="shared" si="14"/>
        <v>255</v>
      </c>
    </row>
    <row r="180" spans="1:24" x14ac:dyDescent="0.25">
      <c r="A180">
        <v>1179</v>
      </c>
      <c r="B180" t="s">
        <v>35</v>
      </c>
      <c r="C180" t="s">
        <v>68</v>
      </c>
      <c r="D180" t="s">
        <v>147</v>
      </c>
      <c r="E180" s="2">
        <v>44981</v>
      </c>
      <c r="H180" s="1">
        <v>1800</v>
      </c>
      <c r="I180" s="1">
        <v>2400</v>
      </c>
      <c r="J180">
        <v>1</v>
      </c>
      <c r="K180" s="1"/>
      <c r="L180" s="1"/>
      <c r="M180" s="1">
        <f t="shared" si="10"/>
        <v>0</v>
      </c>
      <c r="N180" t="s">
        <v>22</v>
      </c>
      <c r="O180" t="s">
        <v>23</v>
      </c>
      <c r="P180">
        <v>2086</v>
      </c>
      <c r="Q180">
        <v>3086</v>
      </c>
      <c r="R180" t="s">
        <v>96</v>
      </c>
      <c r="S180" t="s">
        <v>29</v>
      </c>
      <c r="T180">
        <v>30</v>
      </c>
      <c r="U180">
        <f t="shared" si="11"/>
        <v>2</v>
      </c>
      <c r="V180">
        <f t="shared" si="12"/>
        <v>2023</v>
      </c>
      <c r="W180">
        <f t="shared" si="13"/>
        <v>2400</v>
      </c>
      <c r="X180">
        <f t="shared" si="14"/>
        <v>120</v>
      </c>
    </row>
    <row r="181" spans="1:24" x14ac:dyDescent="0.25">
      <c r="A181">
        <v>1180</v>
      </c>
      <c r="B181" t="s">
        <v>20</v>
      </c>
      <c r="C181" t="s">
        <v>71</v>
      </c>
      <c r="D181" t="s">
        <v>52</v>
      </c>
      <c r="E181" s="2">
        <v>44981</v>
      </c>
      <c r="H181" s="1">
        <v>1400</v>
      </c>
      <c r="I181" s="1">
        <v>2000</v>
      </c>
      <c r="J181">
        <v>1</v>
      </c>
      <c r="K181" s="1"/>
      <c r="L181" s="1"/>
      <c r="M181" s="1">
        <f t="shared" si="10"/>
        <v>0</v>
      </c>
      <c r="N181" t="s">
        <v>22</v>
      </c>
      <c r="O181" t="s">
        <v>23</v>
      </c>
      <c r="P181">
        <v>2024</v>
      </c>
      <c r="Q181">
        <v>3024</v>
      </c>
      <c r="R181" t="s">
        <v>53</v>
      </c>
      <c r="S181" t="s">
        <v>29</v>
      </c>
      <c r="T181">
        <v>18</v>
      </c>
      <c r="U181">
        <f t="shared" si="11"/>
        <v>2</v>
      </c>
      <c r="V181">
        <f t="shared" si="12"/>
        <v>2023</v>
      </c>
      <c r="W181">
        <f t="shared" si="13"/>
        <v>2000</v>
      </c>
      <c r="X181">
        <f t="shared" si="14"/>
        <v>0</v>
      </c>
    </row>
    <row r="182" spans="1:24" x14ac:dyDescent="0.25">
      <c r="A182">
        <v>1181</v>
      </c>
      <c r="B182" t="s">
        <v>20</v>
      </c>
      <c r="C182" t="s">
        <v>71</v>
      </c>
      <c r="D182" t="s">
        <v>147</v>
      </c>
      <c r="E182" s="2">
        <v>44981</v>
      </c>
      <c r="H182" s="1">
        <v>1800</v>
      </c>
      <c r="I182" s="1">
        <v>2400</v>
      </c>
      <c r="J182">
        <v>1</v>
      </c>
      <c r="K182" s="1"/>
      <c r="L182" s="1"/>
      <c r="M182" s="1">
        <f t="shared" si="10"/>
        <v>0</v>
      </c>
      <c r="N182" t="s">
        <v>22</v>
      </c>
      <c r="O182" t="s">
        <v>23</v>
      </c>
      <c r="P182">
        <v>2086</v>
      </c>
      <c r="Q182">
        <v>3086</v>
      </c>
      <c r="R182" t="s">
        <v>96</v>
      </c>
      <c r="S182" t="s">
        <v>29</v>
      </c>
      <c r="T182">
        <v>30</v>
      </c>
      <c r="U182">
        <f t="shared" si="11"/>
        <v>2</v>
      </c>
      <c r="V182">
        <f t="shared" si="12"/>
        <v>2023</v>
      </c>
      <c r="W182">
        <f t="shared" si="13"/>
        <v>2400</v>
      </c>
      <c r="X182">
        <f t="shared" si="14"/>
        <v>120</v>
      </c>
    </row>
    <row r="183" spans="1:24" x14ac:dyDescent="0.25">
      <c r="A183">
        <v>1182</v>
      </c>
      <c r="B183" t="s">
        <v>76</v>
      </c>
      <c r="C183" t="s">
        <v>77</v>
      </c>
      <c r="D183" t="s">
        <v>52</v>
      </c>
      <c r="E183" s="2">
        <v>44981</v>
      </c>
      <c r="H183" s="1">
        <v>1400</v>
      </c>
      <c r="I183" s="1">
        <v>2000</v>
      </c>
      <c r="J183">
        <v>1</v>
      </c>
      <c r="K183" s="1"/>
      <c r="L183" s="1"/>
      <c r="M183" s="1">
        <f t="shared" si="10"/>
        <v>0</v>
      </c>
      <c r="N183" t="s">
        <v>22</v>
      </c>
      <c r="O183" t="s">
        <v>23</v>
      </c>
      <c r="P183">
        <v>2024</v>
      </c>
      <c r="Q183">
        <v>3024</v>
      </c>
      <c r="R183" t="s">
        <v>53</v>
      </c>
      <c r="S183" t="s">
        <v>29</v>
      </c>
      <c r="T183">
        <v>18</v>
      </c>
      <c r="U183">
        <f t="shared" si="11"/>
        <v>2</v>
      </c>
      <c r="V183">
        <f t="shared" si="12"/>
        <v>2023</v>
      </c>
      <c r="W183">
        <f t="shared" si="13"/>
        <v>2000</v>
      </c>
      <c r="X183">
        <f t="shared" si="14"/>
        <v>0</v>
      </c>
    </row>
    <row r="184" spans="1:24" x14ac:dyDescent="0.25">
      <c r="A184">
        <v>1183</v>
      </c>
      <c r="B184" t="s">
        <v>76</v>
      </c>
      <c r="C184" t="s">
        <v>77</v>
      </c>
      <c r="D184" t="s">
        <v>148</v>
      </c>
      <c r="E184" s="2">
        <v>44982</v>
      </c>
      <c r="H184" s="1">
        <v>2291</v>
      </c>
      <c r="I184" s="1">
        <v>2900</v>
      </c>
      <c r="J184">
        <v>2</v>
      </c>
      <c r="K184" s="1"/>
      <c r="L184" s="1"/>
      <c r="M184" s="1">
        <f t="shared" si="10"/>
        <v>0</v>
      </c>
      <c r="N184" t="s">
        <v>26</v>
      </c>
      <c r="O184" t="s">
        <v>23</v>
      </c>
      <c r="P184">
        <v>2087</v>
      </c>
      <c r="Q184">
        <v>3087</v>
      </c>
      <c r="R184" t="s">
        <v>97</v>
      </c>
      <c r="S184" t="s">
        <v>25</v>
      </c>
      <c r="T184">
        <v>34</v>
      </c>
      <c r="U184">
        <f t="shared" si="11"/>
        <v>2</v>
      </c>
      <c r="V184">
        <f t="shared" si="12"/>
        <v>2023</v>
      </c>
      <c r="W184">
        <f t="shared" si="13"/>
        <v>5800</v>
      </c>
      <c r="X184">
        <f t="shared" si="14"/>
        <v>290</v>
      </c>
    </row>
    <row r="185" spans="1:24" x14ac:dyDescent="0.25">
      <c r="A185">
        <v>1184</v>
      </c>
      <c r="B185" t="s">
        <v>30</v>
      </c>
      <c r="C185" t="s">
        <v>80</v>
      </c>
      <c r="D185" t="s">
        <v>55</v>
      </c>
      <c r="E185" s="2">
        <v>44982</v>
      </c>
      <c r="H185" s="1">
        <v>975</v>
      </c>
      <c r="I185" s="1">
        <v>1500</v>
      </c>
      <c r="J185">
        <v>2</v>
      </c>
      <c r="K185" s="1"/>
      <c r="L185" s="1"/>
      <c r="M185" s="1">
        <f t="shared" si="10"/>
        <v>0</v>
      </c>
      <c r="N185" t="s">
        <v>26</v>
      </c>
      <c r="O185" t="s">
        <v>27</v>
      </c>
      <c r="P185">
        <v>2025</v>
      </c>
      <c r="Q185">
        <v>3025</v>
      </c>
      <c r="R185" t="s">
        <v>56</v>
      </c>
      <c r="S185" t="s">
        <v>25</v>
      </c>
      <c r="T185">
        <v>28</v>
      </c>
      <c r="U185">
        <f t="shared" si="11"/>
        <v>2</v>
      </c>
      <c r="V185">
        <f t="shared" si="12"/>
        <v>2023</v>
      </c>
      <c r="W185">
        <f t="shared" si="13"/>
        <v>3000</v>
      </c>
      <c r="X185">
        <f t="shared" si="14"/>
        <v>150</v>
      </c>
    </row>
    <row r="186" spans="1:24" x14ac:dyDescent="0.25">
      <c r="A186">
        <v>1185</v>
      </c>
      <c r="B186" t="s">
        <v>30</v>
      </c>
      <c r="C186" t="s">
        <v>80</v>
      </c>
      <c r="D186" t="s">
        <v>148</v>
      </c>
      <c r="E186" s="2">
        <v>44982</v>
      </c>
      <c r="H186" s="1">
        <v>2291</v>
      </c>
      <c r="I186" s="1">
        <v>2900</v>
      </c>
      <c r="J186">
        <v>2</v>
      </c>
      <c r="K186" s="1"/>
      <c r="L186" s="1"/>
      <c r="M186" s="1">
        <f t="shared" si="10"/>
        <v>0</v>
      </c>
      <c r="N186" t="s">
        <v>26</v>
      </c>
      <c r="O186" t="s">
        <v>23</v>
      </c>
      <c r="P186">
        <v>2087</v>
      </c>
      <c r="Q186">
        <v>3087</v>
      </c>
      <c r="R186" t="s">
        <v>97</v>
      </c>
      <c r="S186" t="s">
        <v>25</v>
      </c>
      <c r="T186">
        <v>34</v>
      </c>
      <c r="U186">
        <f t="shared" si="11"/>
        <v>2</v>
      </c>
      <c r="V186">
        <f t="shared" si="12"/>
        <v>2023</v>
      </c>
      <c r="W186">
        <f t="shared" si="13"/>
        <v>5800</v>
      </c>
      <c r="X186">
        <f t="shared" si="14"/>
        <v>290</v>
      </c>
    </row>
    <row r="187" spans="1:24" x14ac:dyDescent="0.25">
      <c r="A187">
        <v>1186</v>
      </c>
      <c r="B187" t="s">
        <v>35</v>
      </c>
      <c r="C187" t="s">
        <v>83</v>
      </c>
      <c r="D187" t="s">
        <v>55</v>
      </c>
      <c r="E187" s="2">
        <v>44982</v>
      </c>
      <c r="H187" s="1">
        <v>975</v>
      </c>
      <c r="I187" s="1">
        <v>1500</v>
      </c>
      <c r="J187">
        <v>2</v>
      </c>
      <c r="K187" s="1"/>
      <c r="L187" s="1"/>
      <c r="M187" s="1">
        <f t="shared" si="10"/>
        <v>0</v>
      </c>
      <c r="N187" t="s">
        <v>26</v>
      </c>
      <c r="O187" t="s">
        <v>27</v>
      </c>
      <c r="P187">
        <v>2025</v>
      </c>
      <c r="Q187">
        <v>3025</v>
      </c>
      <c r="R187" t="s">
        <v>56</v>
      </c>
      <c r="S187" t="s">
        <v>25</v>
      </c>
      <c r="T187">
        <v>28</v>
      </c>
      <c r="U187">
        <f t="shared" si="11"/>
        <v>2</v>
      </c>
      <c r="V187">
        <f t="shared" si="12"/>
        <v>2023</v>
      </c>
      <c r="W187">
        <f t="shared" si="13"/>
        <v>3000</v>
      </c>
      <c r="X187">
        <f t="shared" si="14"/>
        <v>150</v>
      </c>
    </row>
    <row r="188" spans="1:24" x14ac:dyDescent="0.25">
      <c r="A188">
        <v>1187</v>
      </c>
      <c r="B188" t="s">
        <v>35</v>
      </c>
      <c r="C188" t="s">
        <v>83</v>
      </c>
      <c r="D188" t="s">
        <v>149</v>
      </c>
      <c r="E188" s="2">
        <v>44983</v>
      </c>
      <c r="H188" s="1">
        <v>2607</v>
      </c>
      <c r="I188" s="1">
        <v>3300</v>
      </c>
      <c r="J188">
        <v>1</v>
      </c>
      <c r="K188" s="1"/>
      <c r="L188" s="1"/>
      <c r="M188" s="1">
        <f t="shared" si="10"/>
        <v>0</v>
      </c>
      <c r="N188" t="s">
        <v>26</v>
      </c>
      <c r="O188" t="s">
        <v>27</v>
      </c>
      <c r="P188">
        <v>2088</v>
      </c>
      <c r="Q188">
        <v>3088</v>
      </c>
      <c r="R188" t="s">
        <v>98</v>
      </c>
      <c r="S188" t="s">
        <v>29</v>
      </c>
      <c r="T188">
        <v>32</v>
      </c>
      <c r="U188">
        <f t="shared" si="11"/>
        <v>2</v>
      </c>
      <c r="V188">
        <f t="shared" si="12"/>
        <v>2023</v>
      </c>
      <c r="W188">
        <f t="shared" si="13"/>
        <v>3300</v>
      </c>
      <c r="X188">
        <f t="shared" si="14"/>
        <v>165</v>
      </c>
    </row>
    <row r="189" spans="1:24" x14ac:dyDescent="0.25">
      <c r="A189">
        <v>1188</v>
      </c>
      <c r="B189" t="s">
        <v>76</v>
      </c>
      <c r="C189" t="s">
        <v>86</v>
      </c>
      <c r="D189" t="s">
        <v>57</v>
      </c>
      <c r="E189" s="2">
        <v>44983</v>
      </c>
      <c r="H189" s="1">
        <v>1170</v>
      </c>
      <c r="I189" s="1">
        <v>1800</v>
      </c>
      <c r="J189">
        <v>1</v>
      </c>
      <c r="K189" s="1"/>
      <c r="L189" s="1"/>
      <c r="M189" s="1">
        <f t="shared" si="10"/>
        <v>0</v>
      </c>
      <c r="N189" t="s">
        <v>22</v>
      </c>
      <c r="O189" t="s">
        <v>23</v>
      </c>
      <c r="P189">
        <v>2026</v>
      </c>
      <c r="Q189">
        <v>3026</v>
      </c>
      <c r="R189" t="s">
        <v>58</v>
      </c>
      <c r="S189" t="s">
        <v>29</v>
      </c>
      <c r="T189">
        <v>26</v>
      </c>
      <c r="U189">
        <f t="shared" si="11"/>
        <v>2</v>
      </c>
      <c r="V189">
        <f t="shared" si="12"/>
        <v>2023</v>
      </c>
      <c r="W189">
        <f t="shared" si="13"/>
        <v>1800</v>
      </c>
      <c r="X189">
        <f t="shared" si="14"/>
        <v>0</v>
      </c>
    </row>
    <row r="190" spans="1:24" x14ac:dyDescent="0.25">
      <c r="A190">
        <v>1189</v>
      </c>
      <c r="B190" t="s">
        <v>76</v>
      </c>
      <c r="C190" t="s">
        <v>86</v>
      </c>
      <c r="D190" t="s">
        <v>57</v>
      </c>
      <c r="E190" s="2">
        <v>44983</v>
      </c>
      <c r="H190" s="1">
        <v>1170</v>
      </c>
      <c r="I190" s="1">
        <v>1800</v>
      </c>
      <c r="J190">
        <v>1</v>
      </c>
      <c r="K190" s="1"/>
      <c r="L190" s="1"/>
      <c r="M190" s="1">
        <f t="shared" si="10"/>
        <v>0</v>
      </c>
      <c r="N190" t="s">
        <v>22</v>
      </c>
      <c r="O190" t="s">
        <v>23</v>
      </c>
      <c r="P190">
        <v>2026</v>
      </c>
      <c r="Q190">
        <v>3026</v>
      </c>
      <c r="R190" t="s">
        <v>58</v>
      </c>
      <c r="S190" t="s">
        <v>29</v>
      </c>
      <c r="T190">
        <v>26</v>
      </c>
      <c r="U190">
        <f t="shared" si="11"/>
        <v>2</v>
      </c>
      <c r="V190">
        <f t="shared" si="12"/>
        <v>2023</v>
      </c>
      <c r="W190">
        <f t="shared" si="13"/>
        <v>1800</v>
      </c>
      <c r="X190">
        <f t="shared" si="14"/>
        <v>0</v>
      </c>
    </row>
    <row r="191" spans="1:24" x14ac:dyDescent="0.25">
      <c r="A191">
        <v>1190</v>
      </c>
      <c r="B191" t="s">
        <v>20</v>
      </c>
      <c r="C191" t="s">
        <v>21</v>
      </c>
      <c r="D191" t="s">
        <v>126</v>
      </c>
      <c r="E191" s="2">
        <v>44984</v>
      </c>
      <c r="H191" s="1">
        <v>1656</v>
      </c>
      <c r="I191" s="1">
        <v>2300</v>
      </c>
      <c r="J191">
        <v>2</v>
      </c>
      <c r="K191" s="1"/>
      <c r="L191" s="1"/>
      <c r="M191" s="1">
        <f t="shared" si="10"/>
        <v>0</v>
      </c>
      <c r="N191" t="s">
        <v>26</v>
      </c>
      <c r="O191" t="s">
        <v>23</v>
      </c>
      <c r="P191">
        <v>2027</v>
      </c>
      <c r="Q191">
        <v>3027</v>
      </c>
      <c r="R191" t="s">
        <v>60</v>
      </c>
      <c r="S191" t="s">
        <v>25</v>
      </c>
      <c r="T191">
        <v>30</v>
      </c>
      <c r="U191">
        <f t="shared" si="11"/>
        <v>2</v>
      </c>
      <c r="V191">
        <f t="shared" si="12"/>
        <v>2023</v>
      </c>
      <c r="W191">
        <f t="shared" si="13"/>
        <v>4600</v>
      </c>
      <c r="X191">
        <f t="shared" si="14"/>
        <v>230</v>
      </c>
    </row>
    <row r="192" spans="1:24" x14ac:dyDescent="0.25">
      <c r="A192">
        <v>1191</v>
      </c>
      <c r="B192" t="s">
        <v>20</v>
      </c>
      <c r="C192" t="s">
        <v>21</v>
      </c>
      <c r="D192" t="s">
        <v>126</v>
      </c>
      <c r="E192" s="2">
        <v>44984</v>
      </c>
      <c r="H192" s="1">
        <v>1656</v>
      </c>
      <c r="I192" s="1">
        <v>2300</v>
      </c>
      <c r="J192">
        <v>2</v>
      </c>
      <c r="K192" s="1"/>
      <c r="L192" s="1"/>
      <c r="M192" s="1">
        <f t="shared" si="10"/>
        <v>0</v>
      </c>
      <c r="N192" t="s">
        <v>26</v>
      </c>
      <c r="O192" t="s">
        <v>23</v>
      </c>
      <c r="P192">
        <v>2027</v>
      </c>
      <c r="Q192">
        <v>3027</v>
      </c>
      <c r="R192" t="s">
        <v>60</v>
      </c>
      <c r="S192" t="s">
        <v>25</v>
      </c>
      <c r="T192">
        <v>30</v>
      </c>
      <c r="U192">
        <f t="shared" si="11"/>
        <v>2</v>
      </c>
      <c r="V192">
        <f t="shared" si="12"/>
        <v>2023</v>
      </c>
      <c r="W192">
        <f t="shared" si="13"/>
        <v>4600</v>
      </c>
      <c r="X192">
        <f t="shared" si="14"/>
        <v>230</v>
      </c>
    </row>
    <row r="193" spans="1:24" x14ac:dyDescent="0.25">
      <c r="A193">
        <v>1192</v>
      </c>
      <c r="B193" t="s">
        <v>30</v>
      </c>
      <c r="C193" t="s">
        <v>31</v>
      </c>
      <c r="D193" t="s">
        <v>127</v>
      </c>
      <c r="E193" s="2">
        <v>44985</v>
      </c>
      <c r="H193" s="1">
        <v>1872</v>
      </c>
      <c r="I193" s="1">
        <v>2600</v>
      </c>
      <c r="J193">
        <v>1</v>
      </c>
      <c r="K193" s="1"/>
      <c r="L193" s="1"/>
      <c r="M193" s="1">
        <f t="shared" si="10"/>
        <v>0</v>
      </c>
      <c r="N193" t="s">
        <v>22</v>
      </c>
      <c r="O193" t="s">
        <v>27</v>
      </c>
      <c r="P193">
        <v>2028</v>
      </c>
      <c r="Q193">
        <v>3028</v>
      </c>
      <c r="R193" t="s">
        <v>61</v>
      </c>
      <c r="S193" t="s">
        <v>29</v>
      </c>
      <c r="T193">
        <v>28</v>
      </c>
      <c r="U193">
        <f t="shared" si="11"/>
        <v>2</v>
      </c>
      <c r="V193">
        <f t="shared" si="12"/>
        <v>2023</v>
      </c>
      <c r="W193">
        <f t="shared" si="13"/>
        <v>2600</v>
      </c>
      <c r="X193">
        <f t="shared" si="14"/>
        <v>130</v>
      </c>
    </row>
    <row r="194" spans="1:24" x14ac:dyDescent="0.25">
      <c r="A194">
        <v>1193</v>
      </c>
      <c r="B194" t="s">
        <v>30</v>
      </c>
      <c r="C194" t="s">
        <v>31</v>
      </c>
      <c r="D194" t="s">
        <v>127</v>
      </c>
      <c r="E194" s="2">
        <v>44985</v>
      </c>
      <c r="H194" s="1">
        <v>1872</v>
      </c>
      <c r="I194" s="1">
        <v>2600</v>
      </c>
      <c r="J194">
        <v>1</v>
      </c>
      <c r="K194" s="1"/>
      <c r="L194" s="1"/>
      <c r="M194" s="1">
        <f t="shared" ref="M194:M257" si="15">K194+L194</f>
        <v>0</v>
      </c>
      <c r="N194" t="s">
        <v>22</v>
      </c>
      <c r="O194" t="s">
        <v>27</v>
      </c>
      <c r="P194">
        <v>2028</v>
      </c>
      <c r="Q194">
        <v>3028</v>
      </c>
      <c r="R194" t="s">
        <v>61</v>
      </c>
      <c r="S194" t="s">
        <v>29</v>
      </c>
      <c r="T194">
        <v>28</v>
      </c>
      <c r="U194">
        <f t="shared" si="11"/>
        <v>2</v>
      </c>
      <c r="V194">
        <f t="shared" si="12"/>
        <v>2023</v>
      </c>
      <c r="W194">
        <f t="shared" si="13"/>
        <v>2600</v>
      </c>
      <c r="X194">
        <f t="shared" si="14"/>
        <v>130</v>
      </c>
    </row>
    <row r="195" spans="1:24" x14ac:dyDescent="0.25">
      <c r="A195">
        <v>1194</v>
      </c>
      <c r="B195" t="s">
        <v>35</v>
      </c>
      <c r="C195" t="s">
        <v>36</v>
      </c>
      <c r="D195" t="s">
        <v>120</v>
      </c>
      <c r="E195" s="2">
        <v>44986</v>
      </c>
      <c r="H195" s="1">
        <v>840</v>
      </c>
      <c r="I195" s="1">
        <v>1200</v>
      </c>
      <c r="J195">
        <v>2</v>
      </c>
      <c r="K195" s="1"/>
      <c r="L195" s="1"/>
      <c r="M195" s="1">
        <f t="shared" si="15"/>
        <v>0</v>
      </c>
      <c r="N195" t="s">
        <v>22</v>
      </c>
      <c r="O195" t="s">
        <v>23</v>
      </c>
      <c r="P195">
        <v>2001</v>
      </c>
      <c r="Q195">
        <v>3001</v>
      </c>
      <c r="R195" t="s">
        <v>24</v>
      </c>
      <c r="S195" t="s">
        <v>25</v>
      </c>
      <c r="T195">
        <v>25</v>
      </c>
      <c r="U195">
        <f t="shared" ref="U195:U246" si="16">MONTH(E195)</f>
        <v>3</v>
      </c>
      <c r="V195">
        <f t="shared" ref="V195:V246" si="17">YEAR(E195)</f>
        <v>2023</v>
      </c>
      <c r="W195">
        <f t="shared" ref="W195:W246" si="18">I195 * J195</f>
        <v>2400</v>
      </c>
      <c r="X195">
        <f t="shared" ref="X195:X246" si="19">IF(W195&gt;2000,W195*0.05,0)</f>
        <v>120</v>
      </c>
    </row>
    <row r="196" spans="1:24" x14ac:dyDescent="0.25">
      <c r="A196">
        <v>1195</v>
      </c>
      <c r="B196" t="s">
        <v>35</v>
      </c>
      <c r="C196" t="s">
        <v>36</v>
      </c>
      <c r="D196" t="s">
        <v>134</v>
      </c>
      <c r="E196" s="2">
        <v>44986</v>
      </c>
      <c r="H196" s="1">
        <v>1460</v>
      </c>
      <c r="I196" s="1">
        <v>2000</v>
      </c>
      <c r="J196">
        <v>2</v>
      </c>
      <c r="K196" s="1"/>
      <c r="L196" s="1"/>
      <c r="M196" s="1">
        <f t="shared" si="15"/>
        <v>0</v>
      </c>
      <c r="N196" t="s">
        <v>22</v>
      </c>
      <c r="O196" t="s">
        <v>23</v>
      </c>
      <c r="P196">
        <v>2061</v>
      </c>
      <c r="Q196">
        <v>3061</v>
      </c>
      <c r="R196" t="s">
        <v>78</v>
      </c>
      <c r="S196" t="s">
        <v>25</v>
      </c>
      <c r="T196">
        <v>35</v>
      </c>
      <c r="U196">
        <f t="shared" si="16"/>
        <v>3</v>
      </c>
      <c r="V196">
        <f t="shared" si="17"/>
        <v>2023</v>
      </c>
      <c r="W196">
        <f t="shared" si="18"/>
        <v>4000</v>
      </c>
      <c r="X196">
        <f t="shared" si="19"/>
        <v>200</v>
      </c>
    </row>
    <row r="197" spans="1:24" x14ac:dyDescent="0.25">
      <c r="A197">
        <v>1196</v>
      </c>
      <c r="B197" t="s">
        <v>20</v>
      </c>
      <c r="C197" t="s">
        <v>41</v>
      </c>
      <c r="D197" t="s">
        <v>120</v>
      </c>
      <c r="E197" s="2">
        <v>44986</v>
      </c>
      <c r="H197" s="1">
        <v>840</v>
      </c>
      <c r="I197" s="1">
        <v>1200</v>
      </c>
      <c r="J197">
        <v>2</v>
      </c>
      <c r="K197" s="1"/>
      <c r="L197" s="1"/>
      <c r="M197" s="1">
        <f t="shared" si="15"/>
        <v>0</v>
      </c>
      <c r="N197" t="s">
        <v>22</v>
      </c>
      <c r="O197" t="s">
        <v>23</v>
      </c>
      <c r="P197">
        <v>2001</v>
      </c>
      <c r="Q197">
        <v>3001</v>
      </c>
      <c r="R197" t="s">
        <v>24</v>
      </c>
      <c r="S197" t="s">
        <v>25</v>
      </c>
      <c r="T197">
        <v>25</v>
      </c>
      <c r="U197">
        <f t="shared" si="16"/>
        <v>3</v>
      </c>
      <c r="V197">
        <f t="shared" si="17"/>
        <v>2023</v>
      </c>
      <c r="W197">
        <f t="shared" si="18"/>
        <v>2400</v>
      </c>
      <c r="X197">
        <f t="shared" si="19"/>
        <v>120</v>
      </c>
    </row>
    <row r="198" spans="1:24" x14ac:dyDescent="0.25">
      <c r="A198">
        <v>1197</v>
      </c>
      <c r="B198" t="s">
        <v>20</v>
      </c>
      <c r="C198" t="s">
        <v>41</v>
      </c>
      <c r="D198" t="s">
        <v>121</v>
      </c>
      <c r="E198" s="2">
        <v>44987</v>
      </c>
      <c r="H198" s="1">
        <v>1050</v>
      </c>
      <c r="I198" s="1">
        <v>1500</v>
      </c>
      <c r="J198">
        <v>1</v>
      </c>
      <c r="K198" s="1"/>
      <c r="L198" s="1"/>
      <c r="M198" s="1">
        <f t="shared" si="15"/>
        <v>0</v>
      </c>
      <c r="N198" t="s">
        <v>26</v>
      </c>
      <c r="O198" t="s">
        <v>27</v>
      </c>
      <c r="P198">
        <v>2002</v>
      </c>
      <c r="Q198">
        <v>3002</v>
      </c>
      <c r="R198" t="s">
        <v>28</v>
      </c>
      <c r="S198" t="s">
        <v>29</v>
      </c>
      <c r="T198">
        <v>22</v>
      </c>
      <c r="U198">
        <f t="shared" si="16"/>
        <v>3</v>
      </c>
      <c r="V198">
        <f t="shared" si="17"/>
        <v>2023</v>
      </c>
      <c r="W198">
        <f t="shared" si="18"/>
        <v>1500</v>
      </c>
      <c r="X198">
        <f t="shared" si="19"/>
        <v>0</v>
      </c>
    </row>
    <row r="199" spans="1:24" x14ac:dyDescent="0.25">
      <c r="A199">
        <v>1198</v>
      </c>
      <c r="B199" t="s">
        <v>20</v>
      </c>
      <c r="C199" t="s">
        <v>41</v>
      </c>
      <c r="D199" t="s">
        <v>135</v>
      </c>
      <c r="E199" s="2">
        <v>44987</v>
      </c>
      <c r="H199" s="1">
        <v>1825</v>
      </c>
      <c r="I199" s="1">
        <v>2500</v>
      </c>
      <c r="J199">
        <v>1</v>
      </c>
      <c r="K199" s="1"/>
      <c r="L199" s="1"/>
      <c r="M199" s="1">
        <f t="shared" si="15"/>
        <v>0</v>
      </c>
      <c r="N199" t="s">
        <v>26</v>
      </c>
      <c r="O199" t="s">
        <v>27</v>
      </c>
      <c r="P199">
        <v>2062</v>
      </c>
      <c r="Q199">
        <v>3062</v>
      </c>
      <c r="R199" t="s">
        <v>79</v>
      </c>
      <c r="S199" t="s">
        <v>29</v>
      </c>
      <c r="T199">
        <v>33</v>
      </c>
      <c r="U199">
        <f t="shared" si="16"/>
        <v>3</v>
      </c>
      <c r="V199">
        <f t="shared" si="17"/>
        <v>2023</v>
      </c>
      <c r="W199">
        <f t="shared" si="18"/>
        <v>2500</v>
      </c>
      <c r="X199">
        <f t="shared" si="19"/>
        <v>125</v>
      </c>
    </row>
    <row r="200" spans="1:24" x14ac:dyDescent="0.25">
      <c r="A200">
        <v>1199</v>
      </c>
      <c r="B200" t="s">
        <v>20</v>
      </c>
      <c r="C200" t="s">
        <v>41</v>
      </c>
      <c r="D200" t="s">
        <v>121</v>
      </c>
      <c r="E200" s="2">
        <v>44987</v>
      </c>
      <c r="H200" s="1">
        <v>1050</v>
      </c>
      <c r="I200" s="1">
        <v>1500</v>
      </c>
      <c r="J200">
        <v>1</v>
      </c>
      <c r="K200" s="1"/>
      <c r="L200" s="1"/>
      <c r="M200" s="1">
        <f t="shared" si="15"/>
        <v>0</v>
      </c>
      <c r="N200" t="s">
        <v>26</v>
      </c>
      <c r="O200" t="s">
        <v>27</v>
      </c>
      <c r="P200">
        <v>2002</v>
      </c>
      <c r="Q200">
        <v>3002</v>
      </c>
      <c r="R200" t="s">
        <v>28</v>
      </c>
      <c r="S200" t="s">
        <v>29</v>
      </c>
      <c r="T200">
        <v>22</v>
      </c>
      <c r="U200">
        <f t="shared" si="16"/>
        <v>3</v>
      </c>
      <c r="V200">
        <f t="shared" si="17"/>
        <v>2023</v>
      </c>
      <c r="W200">
        <f t="shared" si="18"/>
        <v>1500</v>
      </c>
      <c r="X200">
        <f t="shared" si="19"/>
        <v>0</v>
      </c>
    </row>
    <row r="201" spans="1:24" x14ac:dyDescent="0.25">
      <c r="A201">
        <v>1200</v>
      </c>
      <c r="B201" t="s">
        <v>20</v>
      </c>
      <c r="C201" t="s">
        <v>44</v>
      </c>
      <c r="D201" t="s">
        <v>122</v>
      </c>
      <c r="E201" s="2">
        <v>44988</v>
      </c>
      <c r="H201" s="1">
        <v>1260</v>
      </c>
      <c r="I201" s="1">
        <v>1800</v>
      </c>
      <c r="J201">
        <v>3</v>
      </c>
      <c r="K201" s="1"/>
      <c r="L201" s="1"/>
      <c r="M201" s="1">
        <f t="shared" si="15"/>
        <v>0</v>
      </c>
      <c r="N201" t="s">
        <v>22</v>
      </c>
      <c r="O201" t="s">
        <v>32</v>
      </c>
      <c r="P201">
        <v>2003</v>
      </c>
      <c r="Q201">
        <v>3003</v>
      </c>
      <c r="R201" t="s">
        <v>33</v>
      </c>
      <c r="S201" t="s">
        <v>25</v>
      </c>
      <c r="T201">
        <v>18</v>
      </c>
      <c r="U201">
        <f t="shared" si="16"/>
        <v>3</v>
      </c>
      <c r="V201">
        <f t="shared" si="17"/>
        <v>2023</v>
      </c>
      <c r="W201">
        <f t="shared" si="18"/>
        <v>5400</v>
      </c>
      <c r="X201">
        <f t="shared" si="19"/>
        <v>270</v>
      </c>
    </row>
    <row r="202" spans="1:24" x14ac:dyDescent="0.25">
      <c r="A202">
        <v>1201</v>
      </c>
      <c r="B202" t="s">
        <v>20</v>
      </c>
      <c r="C202" t="s">
        <v>44</v>
      </c>
      <c r="D202" t="s">
        <v>136</v>
      </c>
      <c r="E202" s="2">
        <v>44988</v>
      </c>
      <c r="H202" s="1">
        <v>1105</v>
      </c>
      <c r="I202" s="1">
        <v>1700</v>
      </c>
      <c r="J202">
        <v>3</v>
      </c>
      <c r="K202" s="1"/>
      <c r="L202" s="1"/>
      <c r="M202" s="1">
        <f t="shared" si="15"/>
        <v>0</v>
      </c>
      <c r="N202" t="s">
        <v>22</v>
      </c>
      <c r="O202" t="s">
        <v>32</v>
      </c>
      <c r="P202">
        <v>2063</v>
      </c>
      <c r="Q202">
        <v>3063</v>
      </c>
      <c r="R202" t="s">
        <v>81</v>
      </c>
      <c r="S202" t="s">
        <v>25</v>
      </c>
      <c r="T202">
        <v>22</v>
      </c>
      <c r="U202">
        <f t="shared" si="16"/>
        <v>3</v>
      </c>
      <c r="V202">
        <f t="shared" si="17"/>
        <v>2023</v>
      </c>
      <c r="W202">
        <f t="shared" si="18"/>
        <v>5100</v>
      </c>
      <c r="X202">
        <f t="shared" si="19"/>
        <v>255</v>
      </c>
    </row>
    <row r="203" spans="1:24" x14ac:dyDescent="0.25">
      <c r="A203">
        <v>1202</v>
      </c>
      <c r="B203" t="s">
        <v>30</v>
      </c>
      <c r="C203" t="s">
        <v>49</v>
      </c>
      <c r="D203" t="s">
        <v>122</v>
      </c>
      <c r="E203" s="2">
        <v>44988</v>
      </c>
      <c r="H203" s="1">
        <v>1260</v>
      </c>
      <c r="I203" s="1">
        <v>1800</v>
      </c>
      <c r="J203">
        <v>3</v>
      </c>
      <c r="K203" s="1"/>
      <c r="L203" s="1"/>
      <c r="M203" s="1">
        <f t="shared" si="15"/>
        <v>0</v>
      </c>
      <c r="N203" t="s">
        <v>22</v>
      </c>
      <c r="O203" t="s">
        <v>32</v>
      </c>
      <c r="P203">
        <v>2003</v>
      </c>
      <c r="Q203">
        <v>3003</v>
      </c>
      <c r="R203" t="s">
        <v>33</v>
      </c>
      <c r="S203" t="s">
        <v>25</v>
      </c>
      <c r="T203">
        <v>18</v>
      </c>
      <c r="U203">
        <f t="shared" si="16"/>
        <v>3</v>
      </c>
      <c r="V203">
        <f t="shared" si="17"/>
        <v>2023</v>
      </c>
      <c r="W203">
        <f t="shared" si="18"/>
        <v>5400</v>
      </c>
      <c r="X203">
        <f t="shared" si="19"/>
        <v>270</v>
      </c>
    </row>
    <row r="204" spans="1:24" x14ac:dyDescent="0.25">
      <c r="A204">
        <v>1203</v>
      </c>
      <c r="B204" t="s">
        <v>30</v>
      </c>
      <c r="C204" t="s">
        <v>49</v>
      </c>
      <c r="D204" t="s">
        <v>123</v>
      </c>
      <c r="E204" s="2">
        <v>44989</v>
      </c>
      <c r="H204" s="1">
        <v>1470</v>
      </c>
      <c r="I204" s="1">
        <v>2100</v>
      </c>
      <c r="J204">
        <v>1</v>
      </c>
      <c r="K204" s="1"/>
      <c r="L204" s="1"/>
      <c r="M204" s="1">
        <f t="shared" si="15"/>
        <v>0</v>
      </c>
      <c r="N204" t="s">
        <v>22</v>
      </c>
      <c r="O204" t="s">
        <v>23</v>
      </c>
      <c r="P204">
        <v>2004</v>
      </c>
      <c r="Q204">
        <v>3004</v>
      </c>
      <c r="R204" t="s">
        <v>34</v>
      </c>
      <c r="S204" t="s">
        <v>29</v>
      </c>
      <c r="T204">
        <v>16</v>
      </c>
      <c r="U204">
        <f t="shared" si="16"/>
        <v>3</v>
      </c>
      <c r="V204">
        <f t="shared" si="17"/>
        <v>2023</v>
      </c>
      <c r="W204">
        <f t="shared" si="18"/>
        <v>2100</v>
      </c>
      <c r="X204">
        <f t="shared" si="19"/>
        <v>105</v>
      </c>
    </row>
    <row r="205" spans="1:24" x14ac:dyDescent="0.25">
      <c r="A205">
        <v>1204</v>
      </c>
      <c r="B205" t="s">
        <v>35</v>
      </c>
      <c r="C205" t="s">
        <v>54</v>
      </c>
      <c r="D205" t="s">
        <v>137</v>
      </c>
      <c r="E205" s="2">
        <v>44989</v>
      </c>
      <c r="H205" s="1">
        <v>1365</v>
      </c>
      <c r="I205" s="1">
        <v>2100</v>
      </c>
      <c r="J205">
        <v>1</v>
      </c>
      <c r="K205" s="1"/>
      <c r="L205" s="1"/>
      <c r="M205" s="1">
        <f t="shared" si="15"/>
        <v>0</v>
      </c>
      <c r="N205" t="s">
        <v>22</v>
      </c>
      <c r="O205" t="s">
        <v>23</v>
      </c>
      <c r="P205">
        <v>2064</v>
      </c>
      <c r="Q205">
        <v>3064</v>
      </c>
      <c r="R205" t="s">
        <v>82</v>
      </c>
      <c r="S205" t="s">
        <v>29</v>
      </c>
      <c r="T205">
        <v>20</v>
      </c>
      <c r="U205">
        <f t="shared" si="16"/>
        <v>3</v>
      </c>
      <c r="V205">
        <f t="shared" si="17"/>
        <v>2023</v>
      </c>
      <c r="W205">
        <f t="shared" si="18"/>
        <v>2100</v>
      </c>
      <c r="X205">
        <f t="shared" si="19"/>
        <v>105</v>
      </c>
    </row>
    <row r="206" spans="1:24" x14ac:dyDescent="0.25">
      <c r="A206">
        <v>1205</v>
      </c>
      <c r="B206" t="s">
        <v>35</v>
      </c>
      <c r="C206" t="s">
        <v>54</v>
      </c>
      <c r="D206" t="s">
        <v>123</v>
      </c>
      <c r="E206" s="2">
        <v>44989</v>
      </c>
      <c r="H206" s="1">
        <v>1470</v>
      </c>
      <c r="I206" s="1">
        <v>2100</v>
      </c>
      <c r="J206">
        <v>1</v>
      </c>
      <c r="K206" s="1"/>
      <c r="L206" s="1"/>
      <c r="M206" s="1">
        <f t="shared" si="15"/>
        <v>0</v>
      </c>
      <c r="N206" t="s">
        <v>22</v>
      </c>
      <c r="O206" t="s">
        <v>23</v>
      </c>
      <c r="P206">
        <v>2004</v>
      </c>
      <c r="Q206">
        <v>3004</v>
      </c>
      <c r="R206" t="s">
        <v>34</v>
      </c>
      <c r="S206" t="s">
        <v>29</v>
      </c>
      <c r="T206">
        <v>16</v>
      </c>
      <c r="U206">
        <f t="shared" si="16"/>
        <v>3</v>
      </c>
      <c r="V206">
        <f t="shared" si="17"/>
        <v>2023</v>
      </c>
      <c r="W206">
        <f t="shared" si="18"/>
        <v>2100</v>
      </c>
      <c r="X206">
        <f t="shared" si="19"/>
        <v>105</v>
      </c>
    </row>
    <row r="207" spans="1:24" x14ac:dyDescent="0.25">
      <c r="A207">
        <v>1206</v>
      </c>
      <c r="B207" t="s">
        <v>20</v>
      </c>
      <c r="C207" t="s">
        <v>59</v>
      </c>
      <c r="D207" t="s">
        <v>37</v>
      </c>
      <c r="E207" s="2">
        <v>44990</v>
      </c>
      <c r="H207" s="1">
        <v>896.99999999999989</v>
      </c>
      <c r="I207" s="1">
        <v>1300</v>
      </c>
      <c r="J207">
        <v>2</v>
      </c>
      <c r="K207" s="1"/>
      <c r="L207" s="1"/>
      <c r="M207" s="1">
        <f t="shared" si="15"/>
        <v>0</v>
      </c>
      <c r="N207" t="s">
        <v>26</v>
      </c>
      <c r="O207" t="s">
        <v>27</v>
      </c>
      <c r="P207">
        <v>2005</v>
      </c>
      <c r="Q207">
        <v>3005</v>
      </c>
      <c r="R207" t="s">
        <v>38</v>
      </c>
      <c r="S207" t="s">
        <v>25</v>
      </c>
      <c r="T207">
        <v>27</v>
      </c>
      <c r="U207">
        <f t="shared" si="16"/>
        <v>3</v>
      </c>
      <c r="V207">
        <f t="shared" si="17"/>
        <v>2023</v>
      </c>
      <c r="W207">
        <f t="shared" si="18"/>
        <v>2600</v>
      </c>
      <c r="X207">
        <f t="shared" si="19"/>
        <v>130</v>
      </c>
    </row>
    <row r="208" spans="1:24" x14ac:dyDescent="0.25">
      <c r="A208">
        <v>1207</v>
      </c>
      <c r="B208" t="s">
        <v>20</v>
      </c>
      <c r="C208" t="s">
        <v>59</v>
      </c>
      <c r="D208" t="s">
        <v>138</v>
      </c>
      <c r="E208" s="2">
        <v>44990</v>
      </c>
      <c r="H208" s="1">
        <v>1035</v>
      </c>
      <c r="I208" s="1">
        <v>1500</v>
      </c>
      <c r="J208">
        <v>2</v>
      </c>
      <c r="K208" s="1"/>
      <c r="L208" s="1"/>
      <c r="M208" s="1">
        <f t="shared" si="15"/>
        <v>0</v>
      </c>
      <c r="N208" t="s">
        <v>26</v>
      </c>
      <c r="O208" t="s">
        <v>27</v>
      </c>
      <c r="P208">
        <v>2065</v>
      </c>
      <c r="Q208">
        <v>3065</v>
      </c>
      <c r="R208" t="s">
        <v>84</v>
      </c>
      <c r="S208" t="s">
        <v>25</v>
      </c>
      <c r="T208">
        <v>30</v>
      </c>
      <c r="U208">
        <f t="shared" si="16"/>
        <v>3</v>
      </c>
      <c r="V208">
        <f t="shared" si="17"/>
        <v>2023</v>
      </c>
      <c r="W208">
        <f t="shared" si="18"/>
        <v>3000</v>
      </c>
      <c r="X208">
        <f t="shared" si="19"/>
        <v>150</v>
      </c>
    </row>
    <row r="209" spans="1:24" x14ac:dyDescent="0.25">
      <c r="A209">
        <v>1208</v>
      </c>
      <c r="B209" t="s">
        <v>20</v>
      </c>
      <c r="C209" t="s">
        <v>62</v>
      </c>
      <c r="D209" t="s">
        <v>37</v>
      </c>
      <c r="E209" s="2">
        <v>44990</v>
      </c>
      <c r="H209" s="1">
        <v>896.99999999999989</v>
      </c>
      <c r="I209" s="1">
        <v>1300</v>
      </c>
      <c r="J209">
        <v>2</v>
      </c>
      <c r="K209" s="1"/>
      <c r="L209" s="1"/>
      <c r="M209" s="1">
        <f t="shared" si="15"/>
        <v>0</v>
      </c>
      <c r="N209" t="s">
        <v>26</v>
      </c>
      <c r="O209" t="s">
        <v>27</v>
      </c>
      <c r="P209">
        <v>2005</v>
      </c>
      <c r="Q209">
        <v>3005</v>
      </c>
      <c r="R209" t="s">
        <v>38</v>
      </c>
      <c r="S209" t="s">
        <v>25</v>
      </c>
      <c r="T209">
        <v>27</v>
      </c>
      <c r="U209">
        <f t="shared" si="16"/>
        <v>3</v>
      </c>
      <c r="V209">
        <f t="shared" si="17"/>
        <v>2023</v>
      </c>
      <c r="W209">
        <f t="shared" si="18"/>
        <v>2600</v>
      </c>
      <c r="X209">
        <f t="shared" si="19"/>
        <v>130</v>
      </c>
    </row>
    <row r="210" spans="1:24" x14ac:dyDescent="0.25">
      <c r="A210">
        <v>1209</v>
      </c>
      <c r="B210" t="s">
        <v>20</v>
      </c>
      <c r="C210" t="s">
        <v>62</v>
      </c>
      <c r="D210" t="s">
        <v>39</v>
      </c>
      <c r="E210" s="2">
        <v>44991</v>
      </c>
      <c r="H210" s="1">
        <v>1104</v>
      </c>
      <c r="I210" s="1">
        <v>1600</v>
      </c>
      <c r="J210">
        <v>1</v>
      </c>
      <c r="K210" s="1"/>
      <c r="L210" s="1"/>
      <c r="M210" s="1">
        <f t="shared" si="15"/>
        <v>0</v>
      </c>
      <c r="N210" t="s">
        <v>22</v>
      </c>
      <c r="O210" t="s">
        <v>23</v>
      </c>
      <c r="P210">
        <v>2006</v>
      </c>
      <c r="Q210">
        <v>3006</v>
      </c>
      <c r="R210" t="s">
        <v>40</v>
      </c>
      <c r="S210" t="s">
        <v>29</v>
      </c>
      <c r="T210">
        <v>24</v>
      </c>
      <c r="U210">
        <f t="shared" si="16"/>
        <v>3</v>
      </c>
      <c r="V210">
        <f t="shared" si="17"/>
        <v>2023</v>
      </c>
      <c r="W210">
        <f t="shared" si="18"/>
        <v>1600</v>
      </c>
      <c r="X210">
        <f t="shared" si="19"/>
        <v>0</v>
      </c>
    </row>
    <row r="211" spans="1:24" x14ac:dyDescent="0.25">
      <c r="A211">
        <v>1210</v>
      </c>
      <c r="B211" t="s">
        <v>30</v>
      </c>
      <c r="C211" t="s">
        <v>49</v>
      </c>
      <c r="D211" t="s">
        <v>139</v>
      </c>
      <c r="E211" s="2">
        <v>44991</v>
      </c>
      <c r="H211" s="1">
        <v>1242</v>
      </c>
      <c r="I211" s="1">
        <v>1800</v>
      </c>
      <c r="J211">
        <v>1</v>
      </c>
      <c r="K211" s="1"/>
      <c r="L211" s="1"/>
      <c r="M211" s="1">
        <f t="shared" si="15"/>
        <v>0</v>
      </c>
      <c r="N211" t="s">
        <v>22</v>
      </c>
      <c r="O211" t="s">
        <v>23</v>
      </c>
      <c r="P211">
        <v>2066</v>
      </c>
      <c r="Q211">
        <v>3066</v>
      </c>
      <c r="R211" t="s">
        <v>85</v>
      </c>
      <c r="S211" t="s">
        <v>29</v>
      </c>
      <c r="T211">
        <v>28</v>
      </c>
      <c r="U211">
        <f t="shared" si="16"/>
        <v>3</v>
      </c>
      <c r="V211">
        <f t="shared" si="17"/>
        <v>2023</v>
      </c>
      <c r="W211">
        <f t="shared" si="18"/>
        <v>1800</v>
      </c>
      <c r="X211">
        <f t="shared" si="19"/>
        <v>0</v>
      </c>
    </row>
    <row r="212" spans="1:24" x14ac:dyDescent="0.25">
      <c r="A212">
        <v>1211</v>
      </c>
      <c r="B212" t="s">
        <v>30</v>
      </c>
      <c r="C212" t="s">
        <v>49</v>
      </c>
      <c r="D212" t="s">
        <v>39</v>
      </c>
      <c r="E212" s="2">
        <v>44991</v>
      </c>
      <c r="H212" s="1">
        <v>1104</v>
      </c>
      <c r="I212" s="1">
        <v>1600</v>
      </c>
      <c r="J212">
        <v>1</v>
      </c>
      <c r="K212" s="1"/>
      <c r="L212" s="1"/>
      <c r="M212" s="1">
        <f t="shared" si="15"/>
        <v>0</v>
      </c>
      <c r="N212" t="s">
        <v>22</v>
      </c>
      <c r="O212" t="s">
        <v>23</v>
      </c>
      <c r="P212">
        <v>2006</v>
      </c>
      <c r="Q212">
        <v>3006</v>
      </c>
      <c r="R212" t="s">
        <v>40</v>
      </c>
      <c r="S212" t="s">
        <v>29</v>
      </c>
      <c r="T212">
        <v>24</v>
      </c>
      <c r="U212">
        <f t="shared" si="16"/>
        <v>3</v>
      </c>
      <c r="V212">
        <f t="shared" si="17"/>
        <v>2023</v>
      </c>
      <c r="W212">
        <f t="shared" si="18"/>
        <v>1600</v>
      </c>
      <c r="X212">
        <f t="shared" si="19"/>
        <v>0</v>
      </c>
    </row>
    <row r="213" spans="1:24" x14ac:dyDescent="0.25">
      <c r="A213">
        <v>1212</v>
      </c>
      <c r="B213" t="s">
        <v>35</v>
      </c>
      <c r="C213" t="s">
        <v>54</v>
      </c>
      <c r="D213" t="s">
        <v>124</v>
      </c>
      <c r="E213" s="2">
        <v>44992</v>
      </c>
      <c r="H213" s="1">
        <v>1496</v>
      </c>
      <c r="I213" s="1">
        <v>2200</v>
      </c>
      <c r="J213">
        <v>2</v>
      </c>
      <c r="K213" s="1"/>
      <c r="L213" s="1"/>
      <c r="M213" s="1">
        <f t="shared" si="15"/>
        <v>0</v>
      </c>
      <c r="N213" t="s">
        <v>26</v>
      </c>
      <c r="O213" t="s">
        <v>23</v>
      </c>
      <c r="P213">
        <v>2007</v>
      </c>
      <c r="Q213">
        <v>3007</v>
      </c>
      <c r="R213" t="s">
        <v>42</v>
      </c>
      <c r="S213" t="s">
        <v>25</v>
      </c>
      <c r="T213">
        <v>29</v>
      </c>
      <c r="U213">
        <f t="shared" si="16"/>
        <v>3</v>
      </c>
      <c r="V213">
        <f t="shared" si="17"/>
        <v>2023</v>
      </c>
      <c r="W213">
        <f t="shared" si="18"/>
        <v>4400</v>
      </c>
      <c r="X213">
        <f t="shared" si="19"/>
        <v>220</v>
      </c>
    </row>
    <row r="214" spans="1:24" x14ac:dyDescent="0.25">
      <c r="A214">
        <v>1213</v>
      </c>
      <c r="B214" t="s">
        <v>35</v>
      </c>
      <c r="C214" t="s">
        <v>54</v>
      </c>
      <c r="D214" t="s">
        <v>140</v>
      </c>
      <c r="E214" s="2">
        <v>44992</v>
      </c>
      <c r="H214" s="1">
        <v>2080</v>
      </c>
      <c r="I214" s="1">
        <v>3200</v>
      </c>
      <c r="J214">
        <v>2</v>
      </c>
      <c r="K214" s="1"/>
      <c r="L214" s="1"/>
      <c r="M214" s="1">
        <f t="shared" si="15"/>
        <v>0</v>
      </c>
      <c r="N214" t="s">
        <v>26</v>
      </c>
      <c r="O214" t="s">
        <v>23</v>
      </c>
      <c r="P214">
        <v>2067</v>
      </c>
      <c r="Q214">
        <v>3067</v>
      </c>
      <c r="R214" t="s">
        <v>73</v>
      </c>
      <c r="S214" t="s">
        <v>25</v>
      </c>
      <c r="T214">
        <v>42</v>
      </c>
      <c r="U214">
        <f t="shared" si="16"/>
        <v>3</v>
      </c>
      <c r="V214">
        <f t="shared" si="17"/>
        <v>2023</v>
      </c>
      <c r="W214">
        <f t="shared" si="18"/>
        <v>6400</v>
      </c>
      <c r="X214">
        <f t="shared" si="19"/>
        <v>320</v>
      </c>
    </row>
    <row r="215" spans="1:24" x14ac:dyDescent="0.25">
      <c r="A215">
        <v>1214</v>
      </c>
      <c r="B215" t="s">
        <v>20</v>
      </c>
      <c r="C215" t="s">
        <v>59</v>
      </c>
      <c r="D215" t="s">
        <v>124</v>
      </c>
      <c r="E215" s="2">
        <v>44992</v>
      </c>
      <c r="H215" s="1">
        <v>1496</v>
      </c>
      <c r="I215" s="1">
        <v>2200</v>
      </c>
      <c r="J215">
        <v>2</v>
      </c>
      <c r="K215" s="1"/>
      <c r="L215" s="1"/>
      <c r="M215" s="1">
        <f t="shared" si="15"/>
        <v>0</v>
      </c>
      <c r="N215" t="s">
        <v>26</v>
      </c>
      <c r="O215" t="s">
        <v>23</v>
      </c>
      <c r="P215">
        <v>2007</v>
      </c>
      <c r="Q215">
        <v>3007</v>
      </c>
      <c r="R215" t="s">
        <v>42</v>
      </c>
      <c r="S215" t="s">
        <v>25</v>
      </c>
      <c r="T215">
        <v>29</v>
      </c>
      <c r="U215">
        <f t="shared" si="16"/>
        <v>3</v>
      </c>
      <c r="V215">
        <f t="shared" si="17"/>
        <v>2023</v>
      </c>
      <c r="W215">
        <f t="shared" si="18"/>
        <v>4400</v>
      </c>
      <c r="X215">
        <f t="shared" si="19"/>
        <v>220</v>
      </c>
    </row>
    <row r="216" spans="1:24" x14ac:dyDescent="0.25">
      <c r="A216">
        <v>1215</v>
      </c>
      <c r="B216" t="s">
        <v>20</v>
      </c>
      <c r="C216" t="s">
        <v>59</v>
      </c>
      <c r="D216" t="s">
        <v>125</v>
      </c>
      <c r="E216" s="2">
        <v>44993</v>
      </c>
      <c r="H216" s="1">
        <v>1700.0000000000002</v>
      </c>
      <c r="I216" s="1">
        <v>2500</v>
      </c>
      <c r="J216">
        <v>1</v>
      </c>
      <c r="K216" s="1"/>
      <c r="L216" s="1"/>
      <c r="M216" s="1">
        <f t="shared" si="15"/>
        <v>0</v>
      </c>
      <c r="N216" t="s">
        <v>22</v>
      </c>
      <c r="O216" t="s">
        <v>27</v>
      </c>
      <c r="P216">
        <v>2008</v>
      </c>
      <c r="Q216">
        <v>3008</v>
      </c>
      <c r="R216" t="s">
        <v>43</v>
      </c>
      <c r="S216" t="s">
        <v>29</v>
      </c>
      <c r="T216">
        <v>27</v>
      </c>
      <c r="U216">
        <f t="shared" si="16"/>
        <v>3</v>
      </c>
      <c r="V216">
        <f t="shared" si="17"/>
        <v>2023</v>
      </c>
      <c r="W216">
        <f t="shared" si="18"/>
        <v>2500</v>
      </c>
      <c r="X216">
        <f t="shared" si="19"/>
        <v>125</v>
      </c>
    </row>
    <row r="217" spans="1:24" x14ac:dyDescent="0.25">
      <c r="A217">
        <v>1216</v>
      </c>
      <c r="B217" t="s">
        <v>20</v>
      </c>
      <c r="C217" t="s">
        <v>21</v>
      </c>
      <c r="D217" t="s">
        <v>141</v>
      </c>
      <c r="E217" s="2">
        <v>44993</v>
      </c>
      <c r="H217" s="1">
        <v>2405</v>
      </c>
      <c r="I217" s="1">
        <v>3700</v>
      </c>
      <c r="J217">
        <v>1</v>
      </c>
      <c r="K217" s="1"/>
      <c r="L217" s="1"/>
      <c r="M217" s="1">
        <f t="shared" si="15"/>
        <v>0</v>
      </c>
      <c r="N217" t="s">
        <v>22</v>
      </c>
      <c r="O217" t="s">
        <v>27</v>
      </c>
      <c r="P217">
        <v>2068</v>
      </c>
      <c r="Q217">
        <v>3068</v>
      </c>
      <c r="R217" t="s">
        <v>75</v>
      </c>
      <c r="S217" t="s">
        <v>29</v>
      </c>
      <c r="T217">
        <v>40</v>
      </c>
      <c r="U217">
        <f t="shared" si="16"/>
        <v>3</v>
      </c>
      <c r="V217">
        <f t="shared" si="17"/>
        <v>2023</v>
      </c>
      <c r="W217">
        <f t="shared" si="18"/>
        <v>3700</v>
      </c>
      <c r="X217">
        <f t="shared" si="19"/>
        <v>185</v>
      </c>
    </row>
    <row r="218" spans="1:24" x14ac:dyDescent="0.25">
      <c r="A218">
        <v>1217</v>
      </c>
      <c r="B218" t="s">
        <v>20</v>
      </c>
      <c r="C218" t="s">
        <v>21</v>
      </c>
      <c r="D218" t="s">
        <v>125</v>
      </c>
      <c r="E218" s="2">
        <v>44993</v>
      </c>
      <c r="H218" s="1">
        <v>1700.0000000000002</v>
      </c>
      <c r="I218" s="1">
        <v>2500</v>
      </c>
      <c r="J218">
        <v>1</v>
      </c>
      <c r="K218" s="1"/>
      <c r="L218" s="1"/>
      <c r="M218" s="1">
        <f t="shared" si="15"/>
        <v>0</v>
      </c>
      <c r="N218" t="s">
        <v>22</v>
      </c>
      <c r="O218" t="s">
        <v>27</v>
      </c>
      <c r="P218">
        <v>2008</v>
      </c>
      <c r="Q218">
        <v>3008</v>
      </c>
      <c r="R218" t="s">
        <v>43</v>
      </c>
      <c r="S218" t="s">
        <v>29</v>
      </c>
      <c r="T218">
        <v>27</v>
      </c>
      <c r="U218">
        <f t="shared" si="16"/>
        <v>3</v>
      </c>
      <c r="V218">
        <f t="shared" si="17"/>
        <v>2023</v>
      </c>
      <c r="W218">
        <f t="shared" si="18"/>
        <v>2500</v>
      </c>
      <c r="X218">
        <f t="shared" si="19"/>
        <v>125</v>
      </c>
    </row>
    <row r="219" spans="1:24" x14ac:dyDescent="0.25">
      <c r="A219">
        <v>1218</v>
      </c>
      <c r="B219" t="s">
        <v>30</v>
      </c>
      <c r="C219" t="s">
        <v>31</v>
      </c>
      <c r="D219" t="s">
        <v>128</v>
      </c>
      <c r="E219" s="2">
        <v>44996</v>
      </c>
      <c r="H219" s="1">
        <v>780</v>
      </c>
      <c r="I219" s="1">
        <v>1300</v>
      </c>
      <c r="J219">
        <v>2</v>
      </c>
      <c r="K219" s="1"/>
      <c r="L219" s="1"/>
      <c r="M219" s="1">
        <f t="shared" si="15"/>
        <v>0</v>
      </c>
      <c r="N219" t="s">
        <v>22</v>
      </c>
      <c r="O219" t="s">
        <v>23</v>
      </c>
      <c r="P219">
        <v>2041</v>
      </c>
      <c r="Q219">
        <v>3041</v>
      </c>
      <c r="R219" t="s">
        <v>63</v>
      </c>
      <c r="S219" t="s">
        <v>25</v>
      </c>
      <c r="T219">
        <v>32</v>
      </c>
      <c r="U219">
        <f t="shared" si="16"/>
        <v>3</v>
      </c>
      <c r="V219">
        <f t="shared" si="17"/>
        <v>2023</v>
      </c>
      <c r="W219">
        <f t="shared" si="18"/>
        <v>2600</v>
      </c>
      <c r="X219">
        <f t="shared" si="19"/>
        <v>130</v>
      </c>
    </row>
    <row r="220" spans="1:24" x14ac:dyDescent="0.25">
      <c r="A220">
        <v>1219</v>
      </c>
      <c r="B220" t="s">
        <v>30</v>
      </c>
      <c r="C220" t="s">
        <v>31</v>
      </c>
      <c r="D220" t="s">
        <v>128</v>
      </c>
      <c r="E220" s="2">
        <v>44996</v>
      </c>
      <c r="H220" s="1">
        <v>780</v>
      </c>
      <c r="I220" s="1">
        <v>1300</v>
      </c>
      <c r="J220">
        <v>2</v>
      </c>
      <c r="K220" s="1"/>
      <c r="L220" s="1"/>
      <c r="M220" s="1">
        <f t="shared" si="15"/>
        <v>0</v>
      </c>
      <c r="N220" t="s">
        <v>22</v>
      </c>
      <c r="O220" t="s">
        <v>23</v>
      </c>
      <c r="P220">
        <v>2041</v>
      </c>
      <c r="Q220">
        <v>3041</v>
      </c>
      <c r="R220" t="s">
        <v>63</v>
      </c>
      <c r="S220" t="s">
        <v>25</v>
      </c>
      <c r="T220">
        <v>32</v>
      </c>
      <c r="U220">
        <f t="shared" si="16"/>
        <v>3</v>
      </c>
      <c r="V220">
        <f t="shared" si="17"/>
        <v>2023</v>
      </c>
      <c r="W220">
        <f t="shared" si="18"/>
        <v>2600</v>
      </c>
      <c r="X220">
        <f t="shared" si="19"/>
        <v>130</v>
      </c>
    </row>
    <row r="221" spans="1:24" x14ac:dyDescent="0.25">
      <c r="A221">
        <v>1220</v>
      </c>
      <c r="B221" t="s">
        <v>35</v>
      </c>
      <c r="C221" t="s">
        <v>36</v>
      </c>
      <c r="D221" t="s">
        <v>129</v>
      </c>
      <c r="E221" s="2">
        <v>44997</v>
      </c>
      <c r="H221" s="1">
        <v>960</v>
      </c>
      <c r="I221" s="1">
        <v>1600</v>
      </c>
      <c r="J221">
        <v>1</v>
      </c>
      <c r="K221" s="1"/>
      <c r="L221" s="1"/>
      <c r="M221" s="1">
        <f t="shared" si="15"/>
        <v>0</v>
      </c>
      <c r="N221" t="s">
        <v>26</v>
      </c>
      <c r="O221" t="s">
        <v>27</v>
      </c>
      <c r="P221">
        <v>2042</v>
      </c>
      <c r="Q221">
        <v>3042</v>
      </c>
      <c r="R221" t="s">
        <v>64</v>
      </c>
      <c r="S221" t="s">
        <v>29</v>
      </c>
      <c r="T221">
        <v>29</v>
      </c>
      <c r="U221">
        <f t="shared" si="16"/>
        <v>3</v>
      </c>
      <c r="V221">
        <f t="shared" si="17"/>
        <v>2023</v>
      </c>
      <c r="W221">
        <f t="shared" si="18"/>
        <v>1600</v>
      </c>
      <c r="X221">
        <f t="shared" si="19"/>
        <v>0</v>
      </c>
    </row>
    <row r="222" spans="1:24" x14ac:dyDescent="0.25">
      <c r="A222">
        <v>1221</v>
      </c>
      <c r="B222" t="s">
        <v>35</v>
      </c>
      <c r="C222" t="s">
        <v>36</v>
      </c>
      <c r="D222" t="s">
        <v>129</v>
      </c>
      <c r="E222" s="2">
        <v>44997</v>
      </c>
      <c r="H222" s="1">
        <v>960</v>
      </c>
      <c r="I222" s="1">
        <v>1600</v>
      </c>
      <c r="J222">
        <v>1</v>
      </c>
      <c r="K222" s="1"/>
      <c r="L222" s="1"/>
      <c r="M222" s="1">
        <f t="shared" si="15"/>
        <v>0</v>
      </c>
      <c r="N222" t="s">
        <v>26</v>
      </c>
      <c r="O222" t="s">
        <v>27</v>
      </c>
      <c r="P222">
        <v>2042</v>
      </c>
      <c r="Q222">
        <v>3042</v>
      </c>
      <c r="R222" t="s">
        <v>64</v>
      </c>
      <c r="S222" t="s">
        <v>29</v>
      </c>
      <c r="T222">
        <v>29</v>
      </c>
      <c r="U222">
        <f t="shared" si="16"/>
        <v>3</v>
      </c>
      <c r="V222">
        <f t="shared" si="17"/>
        <v>2023</v>
      </c>
      <c r="W222">
        <f t="shared" si="18"/>
        <v>1600</v>
      </c>
      <c r="X222">
        <f t="shared" si="19"/>
        <v>0</v>
      </c>
    </row>
    <row r="223" spans="1:24" x14ac:dyDescent="0.25">
      <c r="A223">
        <v>1222</v>
      </c>
      <c r="B223" t="s">
        <v>20</v>
      </c>
      <c r="C223" t="s">
        <v>41</v>
      </c>
      <c r="D223" t="s">
        <v>130</v>
      </c>
      <c r="E223" s="2">
        <v>44998</v>
      </c>
      <c r="H223" s="1">
        <v>1292</v>
      </c>
      <c r="I223" s="1">
        <v>1900</v>
      </c>
      <c r="J223">
        <v>3</v>
      </c>
      <c r="K223" s="1"/>
      <c r="L223" s="1"/>
      <c r="M223" s="1">
        <f t="shared" si="15"/>
        <v>0</v>
      </c>
      <c r="N223" t="s">
        <v>22</v>
      </c>
      <c r="O223" t="s">
        <v>32</v>
      </c>
      <c r="P223">
        <v>2043</v>
      </c>
      <c r="Q223">
        <v>3043</v>
      </c>
      <c r="R223" t="s">
        <v>66</v>
      </c>
      <c r="S223" t="s">
        <v>25</v>
      </c>
      <c r="T223">
        <v>21</v>
      </c>
      <c r="U223">
        <f t="shared" si="16"/>
        <v>3</v>
      </c>
      <c r="V223">
        <f t="shared" si="17"/>
        <v>2023</v>
      </c>
      <c r="W223">
        <f t="shared" si="18"/>
        <v>5700</v>
      </c>
      <c r="X223">
        <f t="shared" si="19"/>
        <v>285</v>
      </c>
    </row>
    <row r="224" spans="1:24" x14ac:dyDescent="0.25">
      <c r="A224">
        <v>1223</v>
      </c>
      <c r="B224" t="s">
        <v>20</v>
      </c>
      <c r="C224" t="s">
        <v>41</v>
      </c>
      <c r="D224" t="s">
        <v>130</v>
      </c>
      <c r="E224" s="2">
        <v>44998</v>
      </c>
      <c r="H224" s="1">
        <v>1292</v>
      </c>
      <c r="I224" s="1">
        <v>1900</v>
      </c>
      <c r="J224">
        <v>3</v>
      </c>
      <c r="K224" s="1"/>
      <c r="L224" s="1"/>
      <c r="M224" s="1">
        <f t="shared" si="15"/>
        <v>0</v>
      </c>
      <c r="N224" t="s">
        <v>22</v>
      </c>
      <c r="O224" t="s">
        <v>32</v>
      </c>
      <c r="P224">
        <v>2043</v>
      </c>
      <c r="Q224">
        <v>3043</v>
      </c>
      <c r="R224" t="s">
        <v>66</v>
      </c>
      <c r="S224" t="s">
        <v>25</v>
      </c>
      <c r="T224">
        <v>21</v>
      </c>
      <c r="U224">
        <f t="shared" si="16"/>
        <v>3</v>
      </c>
      <c r="V224">
        <f t="shared" si="17"/>
        <v>2023</v>
      </c>
      <c r="W224">
        <f t="shared" si="18"/>
        <v>5700</v>
      </c>
      <c r="X224">
        <f t="shared" si="19"/>
        <v>285</v>
      </c>
    </row>
    <row r="225" spans="1:24" x14ac:dyDescent="0.25">
      <c r="A225">
        <v>1224</v>
      </c>
      <c r="B225" t="s">
        <v>20</v>
      </c>
      <c r="C225" t="s">
        <v>44</v>
      </c>
      <c r="D225" t="s">
        <v>131</v>
      </c>
      <c r="E225" s="2">
        <v>44999</v>
      </c>
      <c r="H225" s="1">
        <v>1496</v>
      </c>
      <c r="I225" s="1">
        <v>2200</v>
      </c>
      <c r="J225">
        <v>1</v>
      </c>
      <c r="K225" s="1"/>
      <c r="L225" s="1"/>
      <c r="M225" s="1">
        <f t="shared" si="15"/>
        <v>0</v>
      </c>
      <c r="N225" t="s">
        <v>22</v>
      </c>
      <c r="O225" t="s">
        <v>23</v>
      </c>
      <c r="P225">
        <v>2044</v>
      </c>
      <c r="Q225">
        <v>3044</v>
      </c>
      <c r="R225" t="s">
        <v>67</v>
      </c>
      <c r="S225" t="s">
        <v>29</v>
      </c>
      <c r="T225">
        <v>19</v>
      </c>
      <c r="U225">
        <f t="shared" si="16"/>
        <v>3</v>
      </c>
      <c r="V225">
        <f t="shared" si="17"/>
        <v>2023</v>
      </c>
      <c r="W225">
        <f t="shared" si="18"/>
        <v>2200</v>
      </c>
      <c r="X225">
        <f t="shared" si="19"/>
        <v>110</v>
      </c>
    </row>
    <row r="226" spans="1:24" x14ac:dyDescent="0.25">
      <c r="A226">
        <v>1225</v>
      </c>
      <c r="B226" t="s">
        <v>20</v>
      </c>
      <c r="C226" t="s">
        <v>44</v>
      </c>
      <c r="D226" t="s">
        <v>131</v>
      </c>
      <c r="E226" s="2">
        <v>44999</v>
      </c>
      <c r="H226" s="1">
        <v>1496</v>
      </c>
      <c r="I226" s="1">
        <v>2200</v>
      </c>
      <c r="J226">
        <v>1</v>
      </c>
      <c r="K226" s="1"/>
      <c r="L226" s="1"/>
      <c r="M226" s="1">
        <f t="shared" si="15"/>
        <v>0</v>
      </c>
      <c r="N226" t="s">
        <v>22</v>
      </c>
      <c r="O226" t="s">
        <v>23</v>
      </c>
      <c r="P226">
        <v>2044</v>
      </c>
      <c r="Q226">
        <v>3044</v>
      </c>
      <c r="R226" t="s">
        <v>67</v>
      </c>
      <c r="S226" t="s">
        <v>29</v>
      </c>
      <c r="T226">
        <v>19</v>
      </c>
      <c r="U226">
        <f t="shared" si="16"/>
        <v>3</v>
      </c>
      <c r="V226">
        <f t="shared" si="17"/>
        <v>2023</v>
      </c>
      <c r="W226">
        <f t="shared" si="18"/>
        <v>2200</v>
      </c>
      <c r="X226">
        <f t="shared" si="19"/>
        <v>110</v>
      </c>
    </row>
    <row r="227" spans="1:24" x14ac:dyDescent="0.25">
      <c r="A227">
        <v>1226</v>
      </c>
      <c r="B227" t="s">
        <v>30</v>
      </c>
      <c r="C227" t="s">
        <v>49</v>
      </c>
      <c r="D227" t="s">
        <v>132</v>
      </c>
      <c r="E227" s="2">
        <v>45000</v>
      </c>
      <c r="H227" s="1">
        <v>1340</v>
      </c>
      <c r="I227" s="1">
        <v>2000</v>
      </c>
      <c r="J227">
        <v>2</v>
      </c>
      <c r="K227" s="1"/>
      <c r="L227" s="1"/>
      <c r="M227" s="1">
        <f t="shared" si="15"/>
        <v>0</v>
      </c>
      <c r="N227" t="s">
        <v>26</v>
      </c>
      <c r="O227" t="s">
        <v>27</v>
      </c>
      <c r="P227">
        <v>2045</v>
      </c>
      <c r="Q227">
        <v>3045</v>
      </c>
      <c r="R227" t="s">
        <v>69</v>
      </c>
      <c r="S227" t="s">
        <v>25</v>
      </c>
      <c r="T227">
        <v>36</v>
      </c>
      <c r="U227">
        <f t="shared" si="16"/>
        <v>3</v>
      </c>
      <c r="V227">
        <f t="shared" si="17"/>
        <v>2023</v>
      </c>
      <c r="W227">
        <f t="shared" si="18"/>
        <v>4000</v>
      </c>
      <c r="X227">
        <f t="shared" si="19"/>
        <v>200</v>
      </c>
    </row>
    <row r="228" spans="1:24" x14ac:dyDescent="0.25">
      <c r="A228">
        <v>1227</v>
      </c>
      <c r="B228" t="s">
        <v>30</v>
      </c>
      <c r="C228" t="s">
        <v>49</v>
      </c>
      <c r="D228" t="s">
        <v>133</v>
      </c>
      <c r="E228" s="2">
        <v>45001</v>
      </c>
      <c r="H228" s="1">
        <v>1541</v>
      </c>
      <c r="I228" s="1">
        <v>2300</v>
      </c>
      <c r="J228">
        <v>1</v>
      </c>
      <c r="K228" s="1"/>
      <c r="L228" s="1"/>
      <c r="M228" s="1">
        <f t="shared" si="15"/>
        <v>0</v>
      </c>
      <c r="N228" t="s">
        <v>22</v>
      </c>
      <c r="O228" t="s">
        <v>23</v>
      </c>
      <c r="P228">
        <v>2046</v>
      </c>
      <c r="Q228">
        <v>3046</v>
      </c>
      <c r="R228" t="s">
        <v>70</v>
      </c>
      <c r="S228" t="s">
        <v>29</v>
      </c>
      <c r="T228">
        <v>34</v>
      </c>
      <c r="U228">
        <f t="shared" si="16"/>
        <v>3</v>
      </c>
      <c r="V228">
        <f t="shared" si="17"/>
        <v>2023</v>
      </c>
      <c r="W228">
        <f t="shared" si="18"/>
        <v>2300</v>
      </c>
      <c r="X228">
        <f t="shared" si="19"/>
        <v>115</v>
      </c>
    </row>
    <row r="229" spans="1:24" x14ac:dyDescent="0.25">
      <c r="A229">
        <v>1228</v>
      </c>
      <c r="B229" t="s">
        <v>35</v>
      </c>
      <c r="C229" t="s">
        <v>54</v>
      </c>
      <c r="D229" t="s">
        <v>72</v>
      </c>
      <c r="E229" s="2">
        <v>45002</v>
      </c>
      <c r="H229" s="1">
        <v>2250</v>
      </c>
      <c r="I229" s="1">
        <v>3000</v>
      </c>
      <c r="J229">
        <v>2</v>
      </c>
      <c r="K229" s="1"/>
      <c r="L229" s="1"/>
      <c r="M229" s="1">
        <f t="shared" si="15"/>
        <v>0</v>
      </c>
      <c r="N229" t="s">
        <v>26</v>
      </c>
      <c r="O229" t="s">
        <v>23</v>
      </c>
      <c r="P229">
        <v>2047</v>
      </c>
      <c r="Q229">
        <v>3047</v>
      </c>
      <c r="R229" t="s">
        <v>73</v>
      </c>
      <c r="S229" t="s">
        <v>25</v>
      </c>
      <c r="T229">
        <v>40</v>
      </c>
      <c r="U229">
        <f t="shared" si="16"/>
        <v>3</v>
      </c>
      <c r="V229">
        <f t="shared" si="17"/>
        <v>2023</v>
      </c>
      <c r="W229">
        <f t="shared" si="18"/>
        <v>6000</v>
      </c>
      <c r="X229">
        <f t="shared" si="19"/>
        <v>300</v>
      </c>
    </row>
    <row r="230" spans="1:24" x14ac:dyDescent="0.25">
      <c r="A230">
        <v>1229</v>
      </c>
      <c r="B230" t="s">
        <v>35</v>
      </c>
      <c r="C230" t="s">
        <v>54</v>
      </c>
      <c r="D230" t="s">
        <v>74</v>
      </c>
      <c r="E230" s="2">
        <v>45003</v>
      </c>
      <c r="H230" s="1">
        <v>2625</v>
      </c>
      <c r="I230" s="1">
        <v>3500</v>
      </c>
      <c r="J230">
        <v>1</v>
      </c>
      <c r="K230" s="1"/>
      <c r="L230" s="1"/>
      <c r="M230" s="1">
        <f t="shared" si="15"/>
        <v>0</v>
      </c>
      <c r="N230" t="s">
        <v>22</v>
      </c>
      <c r="O230" t="s">
        <v>27</v>
      </c>
      <c r="P230">
        <v>2048</v>
      </c>
      <c r="Q230">
        <v>3048</v>
      </c>
      <c r="R230" t="s">
        <v>75</v>
      </c>
      <c r="S230" t="s">
        <v>29</v>
      </c>
      <c r="T230">
        <v>38</v>
      </c>
      <c r="U230">
        <f t="shared" si="16"/>
        <v>3</v>
      </c>
      <c r="V230">
        <f t="shared" si="17"/>
        <v>2023</v>
      </c>
      <c r="W230">
        <f t="shared" si="18"/>
        <v>3500</v>
      </c>
      <c r="X230">
        <f t="shared" si="19"/>
        <v>175</v>
      </c>
    </row>
    <row r="231" spans="1:24" x14ac:dyDescent="0.25">
      <c r="A231">
        <v>1230</v>
      </c>
      <c r="B231" t="s">
        <v>20</v>
      </c>
      <c r="C231" t="s">
        <v>59</v>
      </c>
      <c r="D231" t="s">
        <v>45</v>
      </c>
      <c r="E231" s="2">
        <v>45006</v>
      </c>
      <c r="H231" s="1">
        <v>737</v>
      </c>
      <c r="I231" s="1">
        <v>1100</v>
      </c>
      <c r="J231">
        <v>2</v>
      </c>
      <c r="K231" s="1"/>
      <c r="L231" s="1"/>
      <c r="M231" s="1">
        <f t="shared" si="15"/>
        <v>0</v>
      </c>
      <c r="N231" t="s">
        <v>22</v>
      </c>
      <c r="O231" t="s">
        <v>23</v>
      </c>
      <c r="P231">
        <v>2021</v>
      </c>
      <c r="Q231">
        <v>3021</v>
      </c>
      <c r="R231" t="s">
        <v>46</v>
      </c>
      <c r="S231" t="s">
        <v>25</v>
      </c>
      <c r="T231">
        <v>24</v>
      </c>
      <c r="U231">
        <f t="shared" si="16"/>
        <v>3</v>
      </c>
      <c r="V231">
        <f t="shared" si="17"/>
        <v>2023</v>
      </c>
      <c r="W231">
        <f t="shared" si="18"/>
        <v>2200</v>
      </c>
      <c r="X231">
        <f t="shared" si="19"/>
        <v>110</v>
      </c>
    </row>
    <row r="232" spans="1:24" x14ac:dyDescent="0.25">
      <c r="A232">
        <v>1231</v>
      </c>
      <c r="B232" t="s">
        <v>20</v>
      </c>
      <c r="C232" t="s">
        <v>59</v>
      </c>
      <c r="D232" t="s">
        <v>45</v>
      </c>
      <c r="E232" s="2">
        <v>45006</v>
      </c>
      <c r="H232" s="1">
        <v>737</v>
      </c>
      <c r="I232" s="1">
        <v>1100</v>
      </c>
      <c r="J232">
        <v>2</v>
      </c>
      <c r="K232" s="1"/>
      <c r="L232" s="1"/>
      <c r="M232" s="1">
        <f t="shared" si="15"/>
        <v>0</v>
      </c>
      <c r="N232" t="s">
        <v>22</v>
      </c>
      <c r="O232" t="s">
        <v>23</v>
      </c>
      <c r="P232">
        <v>2021</v>
      </c>
      <c r="Q232">
        <v>3021</v>
      </c>
      <c r="R232" t="s">
        <v>46</v>
      </c>
      <c r="S232" t="s">
        <v>25</v>
      </c>
      <c r="T232">
        <v>24</v>
      </c>
      <c r="U232">
        <f t="shared" si="16"/>
        <v>3</v>
      </c>
      <c r="V232">
        <f t="shared" si="17"/>
        <v>2023</v>
      </c>
      <c r="W232">
        <f t="shared" si="18"/>
        <v>2200</v>
      </c>
      <c r="X232">
        <f t="shared" si="19"/>
        <v>110</v>
      </c>
    </row>
    <row r="233" spans="1:24" x14ac:dyDescent="0.25">
      <c r="A233">
        <v>1232</v>
      </c>
      <c r="B233" t="s">
        <v>20</v>
      </c>
      <c r="C233" t="s">
        <v>62</v>
      </c>
      <c r="D233" t="s">
        <v>47</v>
      </c>
      <c r="E233" s="2">
        <v>45007</v>
      </c>
      <c r="H233" s="1">
        <v>938</v>
      </c>
      <c r="I233" s="1">
        <v>1400</v>
      </c>
      <c r="J233">
        <v>1</v>
      </c>
      <c r="K233" s="1"/>
      <c r="L233" s="1"/>
      <c r="M233" s="1">
        <f t="shared" si="15"/>
        <v>0</v>
      </c>
      <c r="N233" t="s">
        <v>26</v>
      </c>
      <c r="O233" t="s">
        <v>27</v>
      </c>
      <c r="P233">
        <v>2022</v>
      </c>
      <c r="Q233">
        <v>3022</v>
      </c>
      <c r="R233" t="s">
        <v>48</v>
      </c>
      <c r="S233" t="s">
        <v>29</v>
      </c>
      <c r="T233">
        <v>21</v>
      </c>
      <c r="U233">
        <f t="shared" si="16"/>
        <v>3</v>
      </c>
      <c r="V233">
        <f t="shared" si="17"/>
        <v>2023</v>
      </c>
      <c r="W233">
        <f t="shared" si="18"/>
        <v>1400</v>
      </c>
      <c r="X233">
        <f t="shared" si="19"/>
        <v>0</v>
      </c>
    </row>
    <row r="234" spans="1:24" x14ac:dyDescent="0.25">
      <c r="A234">
        <v>1233</v>
      </c>
      <c r="B234" t="s">
        <v>20</v>
      </c>
      <c r="C234" t="s">
        <v>62</v>
      </c>
      <c r="D234" t="s">
        <v>47</v>
      </c>
      <c r="E234" s="2">
        <v>45007</v>
      </c>
      <c r="H234" s="1">
        <v>938</v>
      </c>
      <c r="I234" s="1">
        <v>1400</v>
      </c>
      <c r="J234">
        <v>1</v>
      </c>
      <c r="K234" s="1"/>
      <c r="L234" s="1"/>
      <c r="M234" s="1">
        <f t="shared" si="15"/>
        <v>0</v>
      </c>
      <c r="N234" t="s">
        <v>26</v>
      </c>
      <c r="O234" t="s">
        <v>27</v>
      </c>
      <c r="P234">
        <v>2022</v>
      </c>
      <c r="Q234">
        <v>3022</v>
      </c>
      <c r="R234" t="s">
        <v>48</v>
      </c>
      <c r="S234" t="s">
        <v>29</v>
      </c>
      <c r="T234">
        <v>21</v>
      </c>
      <c r="U234">
        <f t="shared" si="16"/>
        <v>3</v>
      </c>
      <c r="V234">
        <f t="shared" si="17"/>
        <v>2023</v>
      </c>
      <c r="W234">
        <f t="shared" si="18"/>
        <v>1400</v>
      </c>
      <c r="X234">
        <f t="shared" si="19"/>
        <v>0</v>
      </c>
    </row>
    <row r="235" spans="1:24" x14ac:dyDescent="0.25">
      <c r="A235">
        <v>1234</v>
      </c>
      <c r="B235" t="s">
        <v>30</v>
      </c>
      <c r="C235" t="s">
        <v>65</v>
      </c>
      <c r="D235" t="s">
        <v>50</v>
      </c>
      <c r="E235" s="2">
        <v>45008</v>
      </c>
      <c r="H235" s="1">
        <v>1190</v>
      </c>
      <c r="I235" s="1">
        <v>1700</v>
      </c>
      <c r="J235">
        <v>3</v>
      </c>
      <c r="K235" s="1"/>
      <c r="L235" s="1"/>
      <c r="M235" s="1">
        <f t="shared" si="15"/>
        <v>0</v>
      </c>
      <c r="N235" t="s">
        <v>22</v>
      </c>
      <c r="O235" t="s">
        <v>32</v>
      </c>
      <c r="P235">
        <v>2023</v>
      </c>
      <c r="Q235">
        <v>3023</v>
      </c>
      <c r="R235" t="s">
        <v>51</v>
      </c>
      <c r="S235" t="s">
        <v>25</v>
      </c>
      <c r="T235">
        <v>20</v>
      </c>
      <c r="U235">
        <f t="shared" si="16"/>
        <v>3</v>
      </c>
      <c r="V235">
        <f t="shared" si="17"/>
        <v>2023</v>
      </c>
      <c r="W235">
        <f t="shared" si="18"/>
        <v>5100</v>
      </c>
      <c r="X235">
        <f t="shared" si="19"/>
        <v>255</v>
      </c>
    </row>
    <row r="236" spans="1:24" x14ac:dyDescent="0.25">
      <c r="A236">
        <v>1235</v>
      </c>
      <c r="B236" t="s">
        <v>30</v>
      </c>
      <c r="C236" t="s">
        <v>65</v>
      </c>
      <c r="D236" t="s">
        <v>50</v>
      </c>
      <c r="E236" s="2">
        <v>45008</v>
      </c>
      <c r="H236" s="1">
        <v>1190</v>
      </c>
      <c r="I236" s="1">
        <v>1700</v>
      </c>
      <c r="J236">
        <v>3</v>
      </c>
      <c r="K236" s="1"/>
      <c r="L236" s="1"/>
      <c r="M236" s="1">
        <f t="shared" si="15"/>
        <v>0</v>
      </c>
      <c r="N236" t="s">
        <v>22</v>
      </c>
      <c r="O236" t="s">
        <v>32</v>
      </c>
      <c r="P236">
        <v>2023</v>
      </c>
      <c r="Q236">
        <v>3023</v>
      </c>
      <c r="R236" t="s">
        <v>51</v>
      </c>
      <c r="S236" t="s">
        <v>25</v>
      </c>
      <c r="T236">
        <v>20</v>
      </c>
      <c r="U236">
        <f t="shared" si="16"/>
        <v>3</v>
      </c>
      <c r="V236">
        <f t="shared" si="17"/>
        <v>2023</v>
      </c>
      <c r="W236">
        <f t="shared" si="18"/>
        <v>5100</v>
      </c>
      <c r="X236">
        <f t="shared" si="19"/>
        <v>255</v>
      </c>
    </row>
    <row r="237" spans="1:24" x14ac:dyDescent="0.25">
      <c r="A237">
        <v>1236</v>
      </c>
      <c r="B237" t="s">
        <v>35</v>
      </c>
      <c r="C237" t="s">
        <v>68</v>
      </c>
      <c r="D237" t="s">
        <v>52</v>
      </c>
      <c r="E237" s="2">
        <v>45009</v>
      </c>
      <c r="H237" s="1">
        <v>1400</v>
      </c>
      <c r="I237" s="1">
        <v>2000</v>
      </c>
      <c r="J237">
        <v>1</v>
      </c>
      <c r="K237" s="1"/>
      <c r="L237" s="1"/>
      <c r="M237" s="1">
        <f t="shared" si="15"/>
        <v>0</v>
      </c>
      <c r="N237" t="s">
        <v>22</v>
      </c>
      <c r="O237" t="s">
        <v>23</v>
      </c>
      <c r="P237">
        <v>2024</v>
      </c>
      <c r="Q237">
        <v>3024</v>
      </c>
      <c r="R237" t="s">
        <v>53</v>
      </c>
      <c r="S237" t="s">
        <v>29</v>
      </c>
      <c r="T237">
        <v>18</v>
      </c>
      <c r="U237">
        <f t="shared" si="16"/>
        <v>3</v>
      </c>
      <c r="V237">
        <f t="shared" si="17"/>
        <v>2023</v>
      </c>
      <c r="W237">
        <f t="shared" si="18"/>
        <v>2000</v>
      </c>
      <c r="X237">
        <f t="shared" si="19"/>
        <v>0</v>
      </c>
    </row>
    <row r="238" spans="1:24" x14ac:dyDescent="0.25">
      <c r="A238">
        <v>1237</v>
      </c>
      <c r="B238" t="s">
        <v>35</v>
      </c>
      <c r="C238" t="s">
        <v>68</v>
      </c>
      <c r="D238" t="s">
        <v>52</v>
      </c>
      <c r="E238" s="2">
        <v>45009</v>
      </c>
      <c r="H238" s="1">
        <v>1400</v>
      </c>
      <c r="I238" s="1">
        <v>2000</v>
      </c>
      <c r="J238">
        <v>1</v>
      </c>
      <c r="K238" s="1"/>
      <c r="L238" s="1"/>
      <c r="M238" s="1">
        <f t="shared" si="15"/>
        <v>0</v>
      </c>
      <c r="N238" t="s">
        <v>22</v>
      </c>
      <c r="O238" t="s">
        <v>23</v>
      </c>
      <c r="P238">
        <v>2024</v>
      </c>
      <c r="Q238">
        <v>3024</v>
      </c>
      <c r="R238" t="s">
        <v>53</v>
      </c>
      <c r="S238" t="s">
        <v>29</v>
      </c>
      <c r="T238">
        <v>18</v>
      </c>
      <c r="U238">
        <f t="shared" si="16"/>
        <v>3</v>
      </c>
      <c r="V238">
        <f t="shared" si="17"/>
        <v>2023</v>
      </c>
      <c r="W238">
        <f t="shared" si="18"/>
        <v>2000</v>
      </c>
      <c r="X238">
        <f t="shared" si="19"/>
        <v>0</v>
      </c>
    </row>
    <row r="239" spans="1:24" x14ac:dyDescent="0.25">
      <c r="A239">
        <v>1238</v>
      </c>
      <c r="B239" t="s">
        <v>20</v>
      </c>
      <c r="C239" t="s">
        <v>71</v>
      </c>
      <c r="D239" t="s">
        <v>55</v>
      </c>
      <c r="E239" s="2">
        <v>45010</v>
      </c>
      <c r="H239" s="1">
        <v>975</v>
      </c>
      <c r="I239" s="1">
        <v>1500</v>
      </c>
      <c r="J239">
        <v>2</v>
      </c>
      <c r="K239" s="1"/>
      <c r="L239" s="1"/>
      <c r="M239" s="1">
        <f t="shared" si="15"/>
        <v>0</v>
      </c>
      <c r="N239" t="s">
        <v>26</v>
      </c>
      <c r="O239" t="s">
        <v>27</v>
      </c>
      <c r="P239">
        <v>2025</v>
      </c>
      <c r="Q239">
        <v>3025</v>
      </c>
      <c r="R239" t="s">
        <v>56</v>
      </c>
      <c r="S239" t="s">
        <v>25</v>
      </c>
      <c r="T239">
        <v>28</v>
      </c>
      <c r="U239">
        <f t="shared" si="16"/>
        <v>3</v>
      </c>
      <c r="V239">
        <f t="shared" si="17"/>
        <v>2023</v>
      </c>
      <c r="W239">
        <f t="shared" si="18"/>
        <v>3000</v>
      </c>
      <c r="X239">
        <f t="shared" si="19"/>
        <v>150</v>
      </c>
    </row>
    <row r="240" spans="1:24" x14ac:dyDescent="0.25">
      <c r="A240">
        <v>1239</v>
      </c>
      <c r="B240" t="s">
        <v>20</v>
      </c>
      <c r="C240" t="s">
        <v>71</v>
      </c>
      <c r="D240" t="s">
        <v>55</v>
      </c>
      <c r="E240" s="2">
        <v>45010</v>
      </c>
      <c r="H240" s="1">
        <v>975</v>
      </c>
      <c r="I240" s="1">
        <v>1500</v>
      </c>
      <c r="J240">
        <v>2</v>
      </c>
      <c r="K240" s="1"/>
      <c r="L240" s="1"/>
      <c r="M240" s="1">
        <f t="shared" si="15"/>
        <v>0</v>
      </c>
      <c r="N240" t="s">
        <v>26</v>
      </c>
      <c r="O240" t="s">
        <v>27</v>
      </c>
      <c r="P240">
        <v>2025</v>
      </c>
      <c r="Q240">
        <v>3025</v>
      </c>
      <c r="R240" t="s">
        <v>56</v>
      </c>
      <c r="S240" t="s">
        <v>25</v>
      </c>
      <c r="T240">
        <v>28</v>
      </c>
      <c r="U240">
        <f t="shared" si="16"/>
        <v>3</v>
      </c>
      <c r="V240">
        <f t="shared" si="17"/>
        <v>2023</v>
      </c>
      <c r="W240">
        <f t="shared" si="18"/>
        <v>3000</v>
      </c>
      <c r="X240">
        <f t="shared" si="19"/>
        <v>150</v>
      </c>
    </row>
    <row r="241" spans="1:24" x14ac:dyDescent="0.25">
      <c r="A241">
        <v>1240</v>
      </c>
      <c r="B241" t="s">
        <v>76</v>
      </c>
      <c r="C241" t="s">
        <v>77</v>
      </c>
      <c r="D241" t="s">
        <v>57</v>
      </c>
      <c r="E241" s="2">
        <v>45011</v>
      </c>
      <c r="H241" s="1">
        <v>1170</v>
      </c>
      <c r="I241" s="1">
        <v>1800</v>
      </c>
      <c r="J241">
        <v>1</v>
      </c>
      <c r="K241" s="1"/>
      <c r="L241" s="1"/>
      <c r="M241" s="1">
        <f t="shared" si="15"/>
        <v>0</v>
      </c>
      <c r="N241" t="s">
        <v>22</v>
      </c>
      <c r="O241" t="s">
        <v>23</v>
      </c>
      <c r="P241">
        <v>2026</v>
      </c>
      <c r="Q241">
        <v>3026</v>
      </c>
      <c r="R241" t="s">
        <v>58</v>
      </c>
      <c r="S241" t="s">
        <v>29</v>
      </c>
      <c r="T241">
        <v>26</v>
      </c>
      <c r="U241">
        <f t="shared" si="16"/>
        <v>3</v>
      </c>
      <c r="V241">
        <f t="shared" si="17"/>
        <v>2023</v>
      </c>
      <c r="W241">
        <f t="shared" si="18"/>
        <v>1800</v>
      </c>
      <c r="X241">
        <f t="shared" si="19"/>
        <v>0</v>
      </c>
    </row>
    <row r="242" spans="1:24" x14ac:dyDescent="0.25">
      <c r="A242">
        <v>1241</v>
      </c>
      <c r="B242" t="s">
        <v>76</v>
      </c>
      <c r="C242" t="s">
        <v>77</v>
      </c>
      <c r="D242" t="s">
        <v>57</v>
      </c>
      <c r="E242" s="2">
        <v>45011</v>
      </c>
      <c r="H242" s="1">
        <v>1170</v>
      </c>
      <c r="I242" s="1">
        <v>1800</v>
      </c>
      <c r="J242">
        <v>1</v>
      </c>
      <c r="K242" s="1"/>
      <c r="L242" s="1"/>
      <c r="M242" s="1">
        <f t="shared" si="15"/>
        <v>0</v>
      </c>
      <c r="N242" t="s">
        <v>22</v>
      </c>
      <c r="O242" t="s">
        <v>23</v>
      </c>
      <c r="P242">
        <v>2026</v>
      </c>
      <c r="Q242">
        <v>3026</v>
      </c>
      <c r="R242" t="s">
        <v>58</v>
      </c>
      <c r="S242" t="s">
        <v>29</v>
      </c>
      <c r="T242">
        <v>26</v>
      </c>
      <c r="U242">
        <f t="shared" si="16"/>
        <v>3</v>
      </c>
      <c r="V242">
        <f t="shared" si="17"/>
        <v>2023</v>
      </c>
      <c r="W242">
        <f t="shared" si="18"/>
        <v>1800</v>
      </c>
      <c r="X242">
        <f t="shared" si="19"/>
        <v>0</v>
      </c>
    </row>
    <row r="243" spans="1:24" x14ac:dyDescent="0.25">
      <c r="A243">
        <v>1242</v>
      </c>
      <c r="B243" t="s">
        <v>30</v>
      </c>
      <c r="C243" t="s">
        <v>80</v>
      </c>
      <c r="D243" t="s">
        <v>126</v>
      </c>
      <c r="E243" s="2">
        <v>45012</v>
      </c>
      <c r="H243" s="1">
        <v>1656</v>
      </c>
      <c r="I243" s="1">
        <v>2300</v>
      </c>
      <c r="J243">
        <v>2</v>
      </c>
      <c r="K243" s="1"/>
      <c r="L243" s="1"/>
      <c r="M243" s="1">
        <f t="shared" si="15"/>
        <v>0</v>
      </c>
      <c r="N243" t="s">
        <v>26</v>
      </c>
      <c r="O243" t="s">
        <v>23</v>
      </c>
      <c r="P243">
        <v>2027</v>
      </c>
      <c r="Q243">
        <v>3027</v>
      </c>
      <c r="R243" t="s">
        <v>60</v>
      </c>
      <c r="S243" t="s">
        <v>25</v>
      </c>
      <c r="T243">
        <v>30</v>
      </c>
      <c r="U243">
        <f t="shared" si="16"/>
        <v>3</v>
      </c>
      <c r="V243">
        <f t="shared" si="17"/>
        <v>2023</v>
      </c>
      <c r="W243">
        <f t="shared" si="18"/>
        <v>4600</v>
      </c>
      <c r="X243">
        <f t="shared" si="19"/>
        <v>230</v>
      </c>
    </row>
    <row r="244" spans="1:24" x14ac:dyDescent="0.25">
      <c r="A244">
        <v>1243</v>
      </c>
      <c r="B244" t="s">
        <v>30</v>
      </c>
      <c r="C244" t="s">
        <v>80</v>
      </c>
      <c r="D244" t="s">
        <v>126</v>
      </c>
      <c r="E244" s="2">
        <v>45012</v>
      </c>
      <c r="H244" s="1">
        <v>1656</v>
      </c>
      <c r="I244" s="1">
        <v>2300</v>
      </c>
      <c r="J244">
        <v>2</v>
      </c>
      <c r="K244" s="1"/>
      <c r="L244" s="1"/>
      <c r="M244" s="1">
        <f t="shared" si="15"/>
        <v>0</v>
      </c>
      <c r="N244" t="s">
        <v>26</v>
      </c>
      <c r="O244" t="s">
        <v>23</v>
      </c>
      <c r="P244">
        <v>2027</v>
      </c>
      <c r="Q244">
        <v>3027</v>
      </c>
      <c r="R244" t="s">
        <v>60</v>
      </c>
      <c r="S244" t="s">
        <v>25</v>
      </c>
      <c r="T244">
        <v>30</v>
      </c>
      <c r="U244">
        <f t="shared" si="16"/>
        <v>3</v>
      </c>
      <c r="V244">
        <f t="shared" si="17"/>
        <v>2023</v>
      </c>
      <c r="W244">
        <f t="shared" si="18"/>
        <v>4600</v>
      </c>
      <c r="X244">
        <f t="shared" si="19"/>
        <v>230</v>
      </c>
    </row>
    <row r="245" spans="1:24" x14ac:dyDescent="0.25">
      <c r="A245">
        <v>1244</v>
      </c>
      <c r="B245" t="s">
        <v>35</v>
      </c>
      <c r="C245" t="s">
        <v>83</v>
      </c>
      <c r="D245" t="s">
        <v>127</v>
      </c>
      <c r="E245" s="2">
        <v>45013</v>
      </c>
      <c r="H245" s="1">
        <v>1872</v>
      </c>
      <c r="I245" s="1">
        <v>1600</v>
      </c>
      <c r="J245">
        <v>1</v>
      </c>
      <c r="K245" s="1"/>
      <c r="L245" s="1"/>
      <c r="M245" s="1">
        <f t="shared" si="15"/>
        <v>0</v>
      </c>
      <c r="N245" t="s">
        <v>22</v>
      </c>
      <c r="O245" t="s">
        <v>27</v>
      </c>
      <c r="P245">
        <v>2028</v>
      </c>
      <c r="Q245">
        <v>3028</v>
      </c>
      <c r="R245" t="s">
        <v>61</v>
      </c>
      <c r="S245" t="s">
        <v>29</v>
      </c>
      <c r="T245">
        <v>28</v>
      </c>
      <c r="U245">
        <f t="shared" si="16"/>
        <v>3</v>
      </c>
      <c r="V245">
        <f t="shared" si="17"/>
        <v>2023</v>
      </c>
      <c r="W245">
        <f t="shared" si="18"/>
        <v>1600</v>
      </c>
      <c r="X245">
        <f t="shared" si="19"/>
        <v>0</v>
      </c>
    </row>
    <row r="246" spans="1:24" x14ac:dyDescent="0.25">
      <c r="A246">
        <v>1245</v>
      </c>
      <c r="B246" t="s">
        <v>35</v>
      </c>
      <c r="C246" t="s">
        <v>83</v>
      </c>
      <c r="D246" t="s">
        <v>127</v>
      </c>
      <c r="E246" s="2">
        <v>45013</v>
      </c>
      <c r="H246" s="1">
        <v>1872</v>
      </c>
      <c r="I246" s="1">
        <v>2600</v>
      </c>
      <c r="J246">
        <v>1</v>
      </c>
      <c r="K246" s="1"/>
      <c r="L246" s="1"/>
      <c r="M246" s="1">
        <f t="shared" si="15"/>
        <v>0</v>
      </c>
      <c r="N246" t="s">
        <v>22</v>
      </c>
      <c r="O246" t="s">
        <v>27</v>
      </c>
      <c r="P246">
        <v>2028</v>
      </c>
      <c r="Q246">
        <v>3028</v>
      </c>
      <c r="R246" t="s">
        <v>61</v>
      </c>
      <c r="S246" t="s">
        <v>29</v>
      </c>
      <c r="T246">
        <v>28</v>
      </c>
      <c r="U246">
        <f t="shared" si="16"/>
        <v>3</v>
      </c>
      <c r="V246">
        <f t="shared" si="17"/>
        <v>2023</v>
      </c>
      <c r="W246">
        <f t="shared" si="18"/>
        <v>2600</v>
      </c>
      <c r="X246">
        <f t="shared" si="19"/>
        <v>130</v>
      </c>
    </row>
  </sheetData>
  <sortState xmlns:xlrd2="http://schemas.microsoft.com/office/spreadsheetml/2017/richdata2" ref="D2:T246">
    <sortCondition ref="E2:E246"/>
  </sortState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1B1C-BD9C-4E1E-8F8E-D0024BBB02D6}">
  <dimension ref="A1:I16"/>
  <sheetViews>
    <sheetView workbookViewId="0">
      <selection activeCell="B17" sqref="B17"/>
    </sheetView>
  </sheetViews>
  <sheetFormatPr defaultRowHeight="15" x14ac:dyDescent="0.25"/>
  <cols>
    <col min="1" max="1" width="29.140625" customWidth="1"/>
    <col min="2" max="2" width="32" customWidth="1"/>
    <col min="3" max="3" width="11.5703125" customWidth="1"/>
    <col min="4" max="4" width="12" customWidth="1"/>
  </cols>
  <sheetData>
    <row r="1" spans="1:9" ht="23.25" x14ac:dyDescent="0.35">
      <c r="A1" s="6"/>
      <c r="B1" s="5"/>
    </row>
    <row r="4" spans="1:9" ht="21" x14ac:dyDescent="0.35">
      <c r="A4" s="11" t="s">
        <v>112</v>
      </c>
      <c r="B4" s="11"/>
      <c r="C4" s="11"/>
      <c r="D4" s="11"/>
    </row>
    <row r="5" spans="1:9" ht="15.75" x14ac:dyDescent="0.25">
      <c r="A5" s="7" t="s">
        <v>113</v>
      </c>
      <c r="B5">
        <f>SUMIFS( Raw_Sales_Data!$W$2:$W$246,Raw_Sales_Data!$V$2:$V$246, 2022,Raw_Sales_Data!$U$2:$U$246, "&lt;=3" )</f>
        <v>316600</v>
      </c>
    </row>
    <row r="6" spans="1:9" ht="15.75" x14ac:dyDescent="0.25">
      <c r="A6" s="7" t="s">
        <v>114</v>
      </c>
      <c r="B6">
        <f>SUMIFS( Raw_Sales_Data!$W$2:$W$246,Raw_Sales_Data!$V$2:$V$246, 2023,Raw_Sales_Data!$U$2:$U$246, "&lt;=3" )</f>
        <v>435100</v>
      </c>
    </row>
    <row r="7" spans="1:9" ht="15.75" x14ac:dyDescent="0.25">
      <c r="A7" s="7" t="s">
        <v>115</v>
      </c>
      <c r="B7" s="10">
        <f>(B6-B5)/B5</f>
        <v>0.3742893240682249</v>
      </c>
    </row>
    <row r="10" spans="1:9" ht="21" x14ac:dyDescent="0.35">
      <c r="A10" s="11" t="s">
        <v>116</v>
      </c>
      <c r="B10" s="11"/>
      <c r="C10" s="11"/>
      <c r="D10" s="11"/>
    </row>
    <row r="11" spans="1:9" ht="15.75" x14ac:dyDescent="0.25">
      <c r="A11" s="7" t="s">
        <v>5</v>
      </c>
      <c r="B11" s="7">
        <v>2022</v>
      </c>
      <c r="C11" s="7">
        <v>2023</v>
      </c>
      <c r="D11" s="7" t="s">
        <v>115</v>
      </c>
      <c r="I11" s="9"/>
    </row>
    <row r="12" spans="1:9" x14ac:dyDescent="0.25">
      <c r="A12" t="s">
        <v>117</v>
      </c>
      <c r="B12">
        <f>SUMIFS( Raw_Sales_Data!$W$2:$W$246,Raw_Sales_Data!$V$2:$V$246, 2022,Raw_Sales_Data!$U$2:$U$246,1 )</f>
        <v>97300</v>
      </c>
      <c r="C12">
        <f>SUMIFS( Raw_Sales_Data!$W$2:$W$246,Raw_Sales_Data!$V$2:$V$246, 2023,Raw_Sales_Data!$U$2:$U$246,1 )</f>
        <v>137600</v>
      </c>
      <c r="D12" s="10">
        <f>(C12-B12)/B12</f>
        <v>0.41418293936279549</v>
      </c>
      <c r="I12" s="9"/>
    </row>
    <row r="13" spans="1:9" x14ac:dyDescent="0.25">
      <c r="A13" t="s">
        <v>118</v>
      </c>
      <c r="B13">
        <f>SUMIFS( Raw_Sales_Data!$W$2:$W$246,Raw_Sales_Data!$V$2:$V$246, 2022,Raw_Sales_Data!$U$2:$U$246,2 )</f>
        <v>108600</v>
      </c>
      <c r="C13">
        <f>SUMIFS( Raw_Sales_Data!$W$2:$W$246,Raw_Sales_Data!$V$2:$V$246, 2023,Raw_Sales_Data!$U$2:$U$246,2 )</f>
        <v>139500</v>
      </c>
      <c r="D13" s="10">
        <f>(C13-B13)/B13</f>
        <v>0.28453038674033149</v>
      </c>
      <c r="I13" s="9"/>
    </row>
    <row r="14" spans="1:9" x14ac:dyDescent="0.25">
      <c r="A14" t="s">
        <v>119</v>
      </c>
      <c r="B14">
        <f>SUMIFS( Raw_Sales_Data!$W$2:$W$246,Raw_Sales_Data!$V$2:$V$246, 2022,Raw_Sales_Data!$U$2:$U$246,3 )</f>
        <v>110700</v>
      </c>
      <c r="C14">
        <f>SUMIFS( Raw_Sales_Data!$W$2:$W$246,Raw_Sales_Data!$V$2:$V$246, 2023,Raw_Sales_Data!$U$2:$U$246,3 )</f>
        <v>158000</v>
      </c>
      <c r="D14" s="10">
        <f>(C14-B14)/B14</f>
        <v>0.42728093947606144</v>
      </c>
      <c r="I14" s="9"/>
    </row>
    <row r="15" spans="1:9" x14ac:dyDescent="0.25">
      <c r="I15" s="9"/>
    </row>
    <row r="16" spans="1:9" x14ac:dyDescent="0.25">
      <c r="I16" s="9"/>
    </row>
  </sheetData>
  <mergeCells count="2">
    <mergeCell ref="A4:D4"/>
    <mergeCell ref="A10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7C71-084A-4B4F-9A6C-BF4414F07476}">
  <dimension ref="A1"/>
  <sheetViews>
    <sheetView tabSelected="1" workbookViewId="0">
      <selection activeCell="R14" sqref="R14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1C3E33-F758-44EC-8869-E7E6DBE6E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0F115A-431B-4DE8-8A36-BE4E8E00EC55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5E81C907-F051-4E3D-9872-9A80AC2C58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Raw_Sales_Data</vt:lpstr>
      <vt:lpstr>Executive_Summary</vt:lpstr>
      <vt:lpstr>Executive_Charts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Margaret Brennan</dc:creator>
  <cp:keywords/>
  <dc:description/>
  <cp:lastModifiedBy>Abdullah Ahmad</cp:lastModifiedBy>
  <cp:revision/>
  <dcterms:created xsi:type="dcterms:W3CDTF">2023-05-23T18:13:08Z</dcterms:created>
  <dcterms:modified xsi:type="dcterms:W3CDTF">2026-01-13T11:00:07Z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285400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